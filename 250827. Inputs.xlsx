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https://umcgonline-my.sharepoint.com/personal/t_h_pham_umcg_nl/Documents/2. Other work/2503. Empathic healthcare/Model/"/>
    </mc:Choice>
  </mc:AlternateContent>
  <xr:revisionPtr revIDLastSave="2340" documentId="8_{3F34BCE0-B6DA-C545-BA1C-12C76D7A6057}" xr6:coauthVersionLast="47" xr6:coauthVersionMax="47" xr10:uidLastSave="{3AC4652A-49B9-BC48-A4A7-42FE13253EF7}"/>
  <bookViews>
    <workbookView xWindow="0" yWindow="600" windowWidth="25600" windowHeight="14240" activeTab="1" xr2:uid="{E7485D4A-5225-3B45-ADBE-6A3844825129}"/>
  </bookViews>
  <sheets>
    <sheet name="GP_DSA_ranges" sheetId="8" state="hidden" r:id="rId1"/>
    <sheet name="GP_full" sheetId="1" r:id="rId2"/>
    <sheet name="GP_base" sheetId="5" state="hidden" r:id="rId3"/>
    <sheet name="miscarriage_full" sheetId="9" r:id="rId4"/>
    <sheet name="NHSII" sheetId="12" r:id="rId5"/>
  </sheets>
  <definedNames>
    <definedName name="_xlnm._FilterDatabase" localSheetId="1" hidden="1">GP_full!$A$1:$N$53</definedName>
    <definedName name="_xlnm._FilterDatabase" localSheetId="3" hidden="1">miscarriage_full!$A$1:$M$49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 l="1"/>
  <c r="D49" i="9"/>
  <c r="C49" i="9" s="1"/>
  <c r="C51" i="9"/>
  <c r="C39" i="9"/>
  <c r="C56" i="1"/>
  <c r="C54" i="1"/>
  <c r="R55" i="1" a="1"/>
  <c r="R55" i="1" s="1"/>
  <c r="C55" i="1" s="1"/>
  <c r="F55" i="1" s="1"/>
  <c r="R50" i="9" a="1"/>
  <c r="R50" i="9" s="1"/>
  <c r="C50" i="9" s="1"/>
  <c r="R47" i="9" a="1"/>
  <c r="R47" i="9" s="1"/>
  <c r="C47" i="9" s="1"/>
  <c r="R37" i="9" a="1"/>
  <c r="R37" i="9" s="1"/>
  <c r="C37" i="9" s="1"/>
  <c r="F37" i="9" s="1"/>
  <c r="C4" i="9"/>
  <c r="E4" i="9" s="1"/>
  <c r="R52" i="1" a="1"/>
  <c r="R52" i="1" s="1"/>
  <c r="C52" i="1" s="1"/>
  <c r="D49" i="1"/>
  <c r="E16" i="1"/>
  <c r="E14" i="1"/>
  <c r="C14" i="1"/>
  <c r="C16" i="1"/>
  <c r="C48" i="9"/>
  <c r="D46" i="9"/>
  <c r="C46" i="9" s="1"/>
  <c r="C53" i="1"/>
  <c r="D51" i="1"/>
  <c r="C51" i="1" s="1"/>
  <c r="C34" i="1"/>
  <c r="F34" i="1" s="1"/>
  <c r="C33" i="1"/>
  <c r="F33" i="1" s="1"/>
  <c r="C32" i="1"/>
  <c r="G32" i="1" s="1"/>
  <c r="J24" i="9"/>
  <c r="J23" i="9"/>
  <c r="J20" i="9"/>
  <c r="D26" i="9"/>
  <c r="G21" i="9"/>
  <c r="F21" i="9"/>
  <c r="C18" i="9"/>
  <c r="F18" i="9" s="1"/>
  <c r="D44" i="9"/>
  <c r="G55" i="1" l="1"/>
  <c r="E55" i="1"/>
  <c r="J55" i="1" s="1"/>
  <c r="G50" i="9"/>
  <c r="E50" i="9" s="1"/>
  <c r="J50" i="9" s="1"/>
  <c r="F50" i="9"/>
  <c r="G16" i="1"/>
  <c r="I14" i="1"/>
  <c r="F14" i="1"/>
  <c r="F32" i="1"/>
  <c r="G14" i="1"/>
  <c r="G34" i="1"/>
  <c r="F16" i="1"/>
  <c r="G33" i="1"/>
  <c r="G18" i="9"/>
  <c r="C24" i="9"/>
  <c r="C7" i="9"/>
  <c r="C17" i="9"/>
  <c r="C9" i="9"/>
  <c r="C8" i="9"/>
  <c r="C16" i="9"/>
  <c r="C14" i="9"/>
  <c r="C45" i="9"/>
  <c r="C41" i="9"/>
  <c r="C30" i="9"/>
  <c r="C31" i="9"/>
  <c r="C32" i="9"/>
  <c r="C33" i="9"/>
  <c r="C34" i="9"/>
  <c r="C35" i="9"/>
  <c r="C29" i="9"/>
  <c r="C23" i="9"/>
  <c r="I23" i="9" s="1"/>
  <c r="C26" i="9"/>
  <c r="D15" i="9"/>
  <c r="D13" i="9" s="1"/>
  <c r="D6" i="9"/>
  <c r="I4" i="9"/>
  <c r="C3" i="9"/>
  <c r="I3" i="9" s="1"/>
  <c r="I55" i="1" l="1"/>
  <c r="I50" i="9"/>
  <c r="C6" i="9"/>
  <c r="I24" i="9"/>
  <c r="F24" i="9"/>
  <c r="G26" i="9"/>
  <c r="F26" i="9"/>
  <c r="G45" i="9"/>
  <c r="E45" i="9" s="1"/>
  <c r="J45" i="9" s="1"/>
  <c r="F45" i="9"/>
  <c r="G24" i="9"/>
  <c r="F30" i="9"/>
  <c r="G30" i="9"/>
  <c r="E30" i="9" s="1"/>
  <c r="J30" i="9" s="1"/>
  <c r="G29" i="9"/>
  <c r="E29" i="9" s="1"/>
  <c r="J29" i="9" s="1"/>
  <c r="F29" i="9"/>
  <c r="G39" i="9"/>
  <c r="E39" i="9" s="1"/>
  <c r="J39" i="9" s="1"/>
  <c r="F39" i="9"/>
  <c r="G34" i="9"/>
  <c r="E34" i="9" s="1"/>
  <c r="J34" i="9" s="1"/>
  <c r="F34" i="9"/>
  <c r="G23" i="9"/>
  <c r="F23" i="9"/>
  <c r="G37" i="9"/>
  <c r="E37" i="9" s="1"/>
  <c r="J37" i="9" s="1"/>
  <c r="G17" i="9"/>
  <c r="F17" i="9"/>
  <c r="F14" i="9"/>
  <c r="G14" i="9"/>
  <c r="E14" i="9" s="1"/>
  <c r="J14" i="9" s="1"/>
  <c r="G8" i="9"/>
  <c r="F8" i="9"/>
  <c r="F7" i="9"/>
  <c r="G7" i="9"/>
  <c r="C15" i="9"/>
  <c r="D27" i="9"/>
  <c r="C27" i="9" s="1"/>
  <c r="C20" i="9"/>
  <c r="I20" i="9" s="1"/>
  <c r="E3" i="9"/>
  <c r="J3" i="9" s="1"/>
  <c r="J4" i="9"/>
  <c r="E7" i="9" l="1"/>
  <c r="I7" i="9" s="1"/>
  <c r="G27" i="9"/>
  <c r="F27" i="9"/>
  <c r="I39" i="9"/>
  <c r="I14" i="9"/>
  <c r="I34" i="9"/>
  <c r="I30" i="9"/>
  <c r="I29" i="9"/>
  <c r="I37" i="9"/>
  <c r="I45" i="9"/>
  <c r="J7" i="9"/>
  <c r="F20" i="9"/>
  <c r="G20" i="9"/>
  <c r="G15" i="9"/>
  <c r="E15" i="9" s="1"/>
  <c r="J15" i="9" s="1"/>
  <c r="F15" i="9"/>
  <c r="E29" i="1"/>
  <c r="E26" i="1" s="1"/>
  <c r="B35" i="5"/>
  <c r="C35" i="1"/>
  <c r="C39" i="1"/>
  <c r="G39" i="1" s="1"/>
  <c r="C10" i="1"/>
  <c r="E10" i="1" s="1"/>
  <c r="J10" i="1" s="1"/>
  <c r="C11" i="1"/>
  <c r="F25" i="1"/>
  <c r="G25" i="1"/>
  <c r="F38" i="1"/>
  <c r="G38" i="1"/>
  <c r="G37" i="1"/>
  <c r="F37" i="1"/>
  <c r="C31" i="1"/>
  <c r="C30" i="1"/>
  <c r="G30" i="1" s="1"/>
  <c r="D29" i="1"/>
  <c r="G24" i="1"/>
  <c r="F24" i="1"/>
  <c r="B34" i="5"/>
  <c r="C38" i="1"/>
  <c r="C37" i="1"/>
  <c r="E30" i="1"/>
  <c r="E31" i="1"/>
  <c r="G31" i="1" l="1"/>
  <c r="F31" i="1"/>
  <c r="I10" i="1"/>
  <c r="F35" i="1"/>
  <c r="I31" i="1"/>
  <c r="E28" i="1"/>
  <c r="B22" i="5" s="1"/>
  <c r="J31" i="1"/>
  <c r="E27" i="1"/>
  <c r="B21" i="5" s="1"/>
  <c r="J30" i="1"/>
  <c r="B20" i="5"/>
  <c r="J29" i="1"/>
  <c r="I30" i="1"/>
  <c r="I15" i="9"/>
  <c r="F39" i="1"/>
  <c r="B26" i="5"/>
  <c r="G35" i="1"/>
  <c r="E35" i="1" s="1"/>
  <c r="J35" i="1" s="1"/>
  <c r="B25" i="5"/>
  <c r="D26" i="1"/>
  <c r="C26" i="1" s="1"/>
  <c r="D28" i="1"/>
  <c r="C28" i="1" s="1"/>
  <c r="C29" i="1"/>
  <c r="D27" i="1"/>
  <c r="C27" i="1" s="1"/>
  <c r="F30" i="1"/>
  <c r="I35" i="1" l="1"/>
  <c r="F29" i="1"/>
  <c r="G29" i="1"/>
  <c r="I29" i="1"/>
  <c r="D43" i="1"/>
  <c r="R43" i="1" s="1" a="1"/>
  <c r="R43" i="1" s="1"/>
  <c r="C43" i="1" s="1"/>
  <c r="F43" i="1" s="1"/>
  <c r="D36" i="9" l="1"/>
  <c r="D44" i="1"/>
  <c r="R44" i="1" s="1" a="1"/>
  <c r="R44" i="1" s="1"/>
  <c r="C44" i="1" s="1"/>
  <c r="G44" i="1" l="1"/>
  <c r="E44" i="1" s="1"/>
  <c r="J44" i="1" s="1"/>
  <c r="F44" i="1"/>
  <c r="G43" i="1"/>
  <c r="E43" i="1" s="1"/>
  <c r="J43" i="1" s="1"/>
  <c r="J14" i="1"/>
  <c r="J16" i="1"/>
  <c r="B31" i="5"/>
  <c r="B40" i="5"/>
  <c r="B30" i="5"/>
  <c r="B8" i="5"/>
  <c r="B9" i="5"/>
  <c r="B38" i="5"/>
  <c r="B39" i="5"/>
  <c r="C36" i="1"/>
  <c r="C49" i="1"/>
  <c r="C50" i="1"/>
  <c r="C46" i="1"/>
  <c r="C45" i="1"/>
  <c r="C40" i="1"/>
  <c r="C24" i="1"/>
  <c r="C25" i="1"/>
  <c r="C23" i="1"/>
  <c r="D42" i="1"/>
  <c r="R42" i="1" s="1" a="1"/>
  <c r="R42" i="1" s="1"/>
  <c r="C41" i="1" s="1"/>
  <c r="C12" i="1"/>
  <c r="D9" i="1"/>
  <c r="I43" i="1" l="1"/>
  <c r="E12" i="1"/>
  <c r="J12" i="1" s="1"/>
  <c r="I16" i="1"/>
  <c r="C9" i="1"/>
  <c r="C8" i="1"/>
  <c r="B6" i="5" s="1"/>
  <c r="I44" i="1"/>
  <c r="G9" i="1"/>
  <c r="G8" i="1" s="1"/>
  <c r="F9" i="1"/>
  <c r="F45" i="1"/>
  <c r="G45" i="1"/>
  <c r="E45" i="1" s="1"/>
  <c r="J45" i="1" s="1"/>
  <c r="G23" i="1"/>
  <c r="F23" i="1"/>
  <c r="G46" i="1"/>
  <c r="F46" i="1"/>
  <c r="F36" i="1"/>
  <c r="G36" i="1"/>
  <c r="E36" i="1" s="1"/>
  <c r="J36" i="1" s="1"/>
  <c r="G50" i="1"/>
  <c r="E50" i="1" s="1"/>
  <c r="J50" i="1" s="1"/>
  <c r="F50" i="1"/>
  <c r="G40" i="1"/>
  <c r="E40" i="1" s="1"/>
  <c r="J40" i="1" s="1"/>
  <c r="F40" i="1"/>
  <c r="B19" i="5"/>
  <c r="B23" i="5"/>
  <c r="B18" i="5"/>
  <c r="B7" i="5"/>
  <c r="B28" i="5"/>
  <c r="B12" i="5"/>
  <c r="B24" i="5"/>
  <c r="B32" i="5"/>
  <c r="B11" i="5"/>
  <c r="B33" i="5"/>
  <c r="B13" i="5"/>
  <c r="B37" i="5"/>
  <c r="C18" i="1"/>
  <c r="I36" i="1" l="1"/>
  <c r="I50" i="1"/>
  <c r="F8" i="1"/>
  <c r="I45" i="1"/>
  <c r="I12" i="1"/>
  <c r="I40" i="1"/>
  <c r="G18" i="1"/>
  <c r="F18" i="1"/>
  <c r="B10" i="5"/>
  <c r="B17" i="5"/>
  <c r="C4" i="1"/>
  <c r="C5" i="1"/>
  <c r="C6" i="1"/>
  <c r="E6" i="1" s="1"/>
  <c r="C3" i="1"/>
  <c r="J6" i="1" l="1"/>
  <c r="I6" i="1"/>
  <c r="E3" i="1"/>
  <c r="J3" i="1" s="1"/>
  <c r="I3" i="1"/>
  <c r="E5" i="1"/>
  <c r="J5" i="1" s="1"/>
  <c r="I5" i="1"/>
  <c r="E4" i="1"/>
  <c r="J4" i="1" s="1"/>
  <c r="I4" i="1"/>
  <c r="G41" i="1" l="1"/>
  <c r="E41" i="1" s="1"/>
  <c r="B29" i="5"/>
  <c r="F41" i="1"/>
  <c r="J41" i="1" l="1"/>
  <c r="I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tc={80045DE9-4358-DF4F-BF6C-71F5BABC8290}</author>
  </authors>
  <commentList>
    <comment ref="C19" authorId="0" shapeId="0" xr:uid="{80045DE9-4358-DF4F-BF6C-71F5BABC8290}">
      <text>
        <t>[Threaded comment]
Your version of Excel allows you to read this threaded comment; however, any edits to it will get removed if the file is opened in a newer version of Excel. Learn more: https://go.microsoft.com/fwlink/?linkid=870924
Comment:
    CIS-R ranges from 0-57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tc={1D762529-F4D8-B84A-A1D0-D4A14C93A028}</author>
    <author>tc={5F92CC52-4216-7A4B-B4D1-1D55315B94D4}</author>
    <author>tc={B7F8C9D9-6E39-CB45-88FB-AB01FA693609}</author>
    <author>tc={4F0A6A4D-35C6-6F42-8E2D-28DA06169B7A}</author>
    <author>tc={68FBF57B-A0B8-BE45-A108-89DF25E940F8}</author>
    <author>tc={B8A121AE-755E-9E43-86C0-A4EDE5931BCF}</author>
    <author>tc={CF584E2F-6387-EA46-8EEF-BD76AA1317FD}</author>
    <author>tc={7F771C8D-5EC1-F143-AD98-AB58A809A1A6}</author>
    <author>tc={0A7DAD96-06B7-564B-983A-BA2FD2BFFBBB}</author>
    <author>tc={A924588A-545A-A042-9E3A-8A78770F8CBD}</author>
    <author>tc={64F7B7FB-F97F-AF48-8006-1128113C6F6A}</author>
  </authors>
  <commentList>
    <comment ref="C1" authorId="0" shapeId="0" xr:uid="{1D762529-F4D8-B84A-A1D0-D4A14C93A028}">
      <text>
        <t>[Threaded comment]
Your version of Excel allows you to read this threaded comment; however, any edits to it will get removed if the file is opened in a newer version of Excel. Learn more: https://go.microsoft.com/fwlink/?linkid=870924
Comment:
    This is the chosen mean among different sources</t>
      </text>
    </comment>
    <comment ref="H1" authorId="1" shapeId="0" xr:uid="{5F92CC52-4216-7A4B-B4D1-1D55315B94D4}">
      <text>
        <t xml:space="preserve">[Threaded comment]
Your version of Excel allows you to read this threaded comment; however, any edits to it will get removed if the file is opened in a newer version of Excel. Learn more: https://go.microsoft.com/fwlink/?linkid=870924
Comment:
    - normal: Param1 = mean, Param2 = sd 
- lognormal: Param1 = meanlog, Param2 = sdlog 
- beta: Param1 = alpha, Param2 = beta
- gamma: Param1 = shape, Param2 = rate </t>
      </text>
    </comment>
    <comment ref="Q1" authorId="2" shapeId="0" xr:uid="{B7F8C9D9-6E39-CB45-88FB-AB01FA693609}">
      <text>
        <t>[Threaded comment]
Your version of Excel allows you to read this threaded comment; however, any edits to it will get removed if the file is opened in a newer version of Excel. Learn more: https://go.microsoft.com/fwlink/?linkid=870924
Comment:
    nhs_pay, nhs_prices or nhs pay and prices</t>
      </text>
    </comment>
    <comment ref="H12" authorId="3" shapeId="0" xr:uid="{4F0A6A4D-35C6-6F42-8E2D-28DA06169B7A}">
      <text>
        <t xml:space="preserve">[Threaded comment]
Your version of Excel allows you to read this threaded comment; however, any edits to it will get removed if the file is opened in a newer version of Excel. Learn more: https://go.microsoft.com/fwlink/?linkid=870924
Comment:
    In beta distribution, known mean and 95% CI:
- calculate SE= (upr−lwr)/4
- Calculate alpha and beta
alpha &lt;- m * ((m * (1 - m) / SE^2) - 1)
beta &lt;- (1 - m) * ((m * (1 - m) / SE^2) - 1)
</t>
      </text>
    </comment>
    <comment ref="E27" authorId="4" shapeId="0" xr:uid="{68FBF57B-A0B8-BE45-A108-89DF25E940F8}">
      <text>
        <t>[Threaded comment]
Your version of Excel allows you to read this threaded comment; however, any edits to it will get removed if the file is opened in a newer version of Excel. Learn more: https://go.microsoft.com/fwlink/?linkid=870924
Comment:
    assume that mean_int and mean_ctrl follow normal distribution with the same SD</t>
      </text>
    </comment>
    <comment ref="F28" authorId="5" shapeId="0" xr:uid="{B8A121AE-755E-9E43-86C0-A4EDE5931BCF}">
      <text>
        <t>[Threaded comment]
Your version of Excel allows you to read this threaded comment; however, any edits to it will get removed if the file is opened in a newer version of Excel. Learn more: https://go.microsoft.com/fwlink/?linkid=870924
Comment:
    =ROUND(F26+F6*E26,2) = -1.13 . Depression score can not be negative =&gt; consider 0</t>
      </text>
    </comment>
    <comment ref="E30" authorId="6" shapeId="0" xr:uid="{CF584E2F-6387-EA46-8EEF-BD76AA1317FD}">
      <text>
        <t>[Threaded comment]
Your version of Excel allows you to read this threaded comment; however, any edits to it will get removed if the file is opened in a newer version of Excel. Learn more: https://go.microsoft.com/fwlink/?linkid=870924
Comment:
    This should be SD, not SE</t>
      </text>
    </comment>
    <comment ref="G31" authorId="7" shapeId="0" xr:uid="{7F771C8D-5EC1-F143-AD98-AB58A809A1A6}">
      <text>
        <t>[Threaded comment]
Your version of Excel allows you to read this threaded comment; however, any edits to it will get removed if the file is opened in a newer version of Excel. Learn more: https://go.microsoft.com/fwlink/?linkid=870924
Comment:
    CIS-R ranges from 0-57</t>
      </text>
    </comment>
    <comment ref="G32" authorId="8" shapeId="0" xr:uid="{0A7DAD96-06B7-564B-983A-BA2FD2BFFBBB}">
      <text>
        <t>[Threaded comment]
Your version of Excel allows you to read this threaded comment; however, any edits to it will get removed if the file is opened in a newer version of Excel. Learn more: https://go.microsoft.com/fwlink/?linkid=870924
Comment:
    CIS-R ranges from 0-57</t>
      </text>
    </comment>
    <comment ref="H35" authorId="9" shapeId="0" xr:uid="{A924588A-545A-A042-9E3A-8A78770F8CBD}">
      <text>
        <t xml:space="preserve">[Threaded comment]
Your version of Excel allows you to read this threaded comment; however, any edits to it will get removed if the file is opened in a newer version of Excel. Learn more: https://go.microsoft.com/fwlink/?linkid=870924
Comment:
    consider DSA low and high is 95%CI. Then we
- calculate SE: (upr−lwr)/(1.96*2) (=SD)
- shape = mean^2 / SE^2
- scale = SE^2/mean
</t>
      </text>
    </comment>
    <comment ref="H52" authorId="10" shapeId="0" xr:uid="{64F7B7FB-F97F-AF48-8006-1128113C6F6A}">
      <text>
        <t>[Threaded comment]
Your version of Excel allows you to read this threaded comment; however, any edits to it will get removed if the file is opened in a newer version of Excel. Learn more: https://go.microsoft.com/fwlink/?linkid=870924
Comment:
    calculate:
- mu = ln(mean^2 / sqrt(SE^2 + mean^2))
sigma = sqrt(ln(1 + SE^2 / mean^2))</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tc={B3B3D132-CFFA-C941-A6CC-DB4B4A3AAC99}</author>
    <author>tc={6D73338F-7A3E-9046-9F3F-12F5277690A6}</author>
    <author>tc={F02B2F48-90FF-F044-A039-E433845C6E1D}</author>
    <author>tc={5B5D9A5D-F81F-B043-813B-2517C823F795}</author>
    <author>tc={81BF3719-40D3-6E44-B5FB-961FE7086467}</author>
    <author>tc={DDBC6454-859A-1C42-B5BD-95AF5229F4BF}</author>
    <author>tc={C2F6819B-634D-8547-A1AD-8D248BF37604}</author>
  </authors>
  <commentList>
    <comment ref="A1" authorId="0" shapeId="0" xr:uid="{B3B3D132-CFFA-C941-A6CC-DB4B4A3AAC99}">
      <text>
        <t>[Threaded comment]
Your version of Excel allows you to read this threaded comment; however, any edits to it will get removed if the file is opened in a newer version of Excel. Learn more: https://go.microsoft.com/fwlink/?linkid=870924
Comment:
    For the base-case analysis, we use post-test values of outcomes</t>
      </text>
    </comment>
    <comment ref="C1" authorId="1" shapeId="0" xr:uid="{6D73338F-7A3E-9046-9F3F-12F5277690A6}">
      <text>
        <t>[Threaded comment]
Your version of Excel allows you to read this threaded comment; however, any edits to it will get removed if the file is opened in a newer version of Excel. Learn more: https://go.microsoft.com/fwlink/?linkid=870924
Comment:
    This is the chosen mean among different sources</t>
      </text>
    </comment>
    <comment ref="H1" authorId="2" shapeId="0" xr:uid="{F02B2F48-90FF-F044-A039-E433845C6E1D}">
      <text>
        <t xml:space="preserve">[Threaded comment]
Your version of Excel allows you to read this threaded comment; however, any edits to it will get removed if the file is opened in a newer version of Excel. Learn more: https://go.microsoft.com/fwlink/?linkid=870924
Comment:
    - normal: Param1 = mean, Param2 = sd 
- lognormal: Param1 = meanlog, Param2 = sdlog 
- beta: Param1 = alpha, Param2 = beta
- gamma: Param1 = shape, Param2 = rate </t>
      </text>
    </comment>
    <comment ref="Q1" authorId="3" shapeId="0" xr:uid="{5B5D9A5D-F81F-B043-813B-2517C823F795}">
      <text>
        <t>[Threaded comment]
Your version of Excel allows you to read this threaded comment; however, any edits to it will get removed if the file is opened in a newer version of Excel. Learn more: https://go.microsoft.com/fwlink/?linkid=870924
Comment:
    nhs_pay, nhs_prices or nhs pay and prices</t>
      </text>
    </comment>
    <comment ref="H7" authorId="4" shapeId="0" xr:uid="{81BF3719-40D3-6E44-B5FB-961FE7086467}">
      <text>
        <t xml:space="preserve">[Threaded comment]
Your version of Excel allows you to read this threaded comment; however, any edits to it will get removed if the file is opened in a newer version of Excel. Learn more: https://go.microsoft.com/fwlink/?linkid=870924
Comment:
    In beta distribution, known mean and 95% CI:
- calculate SE= (upr−lwr)/4
- Calculate alpha and beta
alpha &lt;- m * ((m * (1 - m) / SE^2) - 1)
beta &lt;- (1 - m) * ((m * (1 - m) / SE^2) - 1)
</t>
      </text>
    </comment>
    <comment ref="M7" authorId="5" shapeId="0" xr:uid="{DDBC6454-859A-1C42-B5BD-95AF5229F4BF}">
      <text>
        <t>[Threaded comment]
Your version of Excel allows you to read this threaded comment; however, any edits to it will get removed if the file is opened in a newer version of Excel. Learn more: https://go.microsoft.com/fwlink/?linkid=870924
Comment:
    There is no national collection of data of miscarriage in England and Wales
https://www.sciencedirect.com/science/article/pii/S2666776225001358</t>
      </text>
    </comment>
    <comment ref="D21" authorId="6" shapeId="0" xr:uid="{C2F6819B-634D-8547-A1AD-8D248BF37604}">
      <text>
        <t>[Threaded comment]
Your version of Excel allows you to read this threaded comment; however, any edits to it will get removed if the file is opened in a newer version of Excel. Learn more: https://go.microsoft.com/fwlink/?linkid=870924
Comment:
    choose this value in scenario analysis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<sst xmlns="http://schemas.openxmlformats.org/spreadsheetml/2006/main" count="595" uniqueCount="329">
  <si>
    <t>Input</t>
  </si>
  <si>
    <t>Low</t>
  </si>
  <si>
    <t>High</t>
  </si>
  <si>
    <t>Not in use anymore</t>
  </si>
  <si>
    <t>smd_1</t>
  </si>
  <si>
    <t>smd_2</t>
  </si>
  <si>
    <t>smd_3</t>
  </si>
  <si>
    <t>smd_sat</t>
  </si>
  <si>
    <t>n_patients_eligible</t>
  </si>
  <si>
    <t>p_subgroup1</t>
  </si>
  <si>
    <t>p_subgroup2</t>
  </si>
  <si>
    <t>p_subgroup3</t>
  </si>
  <si>
    <t>n_providers</t>
  </si>
  <si>
    <t>v_threshold_1</t>
  </si>
  <si>
    <t>v_threshold_2</t>
  </si>
  <si>
    <t>v_threshold_3</t>
  </si>
  <si>
    <t>v_mean_1_int</t>
  </si>
  <si>
    <t>v_mean_2_int</t>
  </si>
  <si>
    <t>v_mean_3_int</t>
  </si>
  <si>
    <t>v_mean_1_ctrl</t>
  </si>
  <si>
    <t>v_mean_2_ctrl</t>
  </si>
  <si>
    <t>v_mean_3_ctrl</t>
  </si>
  <si>
    <t>sd_1</t>
  </si>
  <si>
    <t>sd_2</t>
  </si>
  <si>
    <t>sd_3</t>
  </si>
  <si>
    <t>c_training_online</t>
  </si>
  <si>
    <t>c_training_f2f</t>
  </si>
  <si>
    <t>v_training_hours_online</t>
  </si>
  <si>
    <t>v_training_hours_f2f</t>
  </si>
  <si>
    <t>n_training_sessions</t>
  </si>
  <si>
    <t>c_opp_provider_hourly</t>
  </si>
  <si>
    <t>c_offset_1</t>
  </si>
  <si>
    <t>c_offset_2</t>
  </si>
  <si>
    <t>c_offset_3</t>
  </si>
  <si>
    <t>c_care_component1_per_unit</t>
  </si>
  <si>
    <t>n_care_component1_units</t>
  </si>
  <si>
    <t>c_care_component2_per_unit</t>
  </si>
  <si>
    <t>n_care_component2_units</t>
  </si>
  <si>
    <t>p_satisfaction_int</t>
  </si>
  <si>
    <t>p_satisfaction_ctrl</t>
  </si>
  <si>
    <t>p_burnout_ctrl</t>
  </si>
  <si>
    <t>rr_burnout</t>
  </si>
  <si>
    <t>c_offset_burnout</t>
  </si>
  <si>
    <t>For_R</t>
  </si>
  <si>
    <t>Value</t>
  </si>
  <si>
    <t>Mean</t>
  </si>
  <si>
    <t>SD</t>
  </si>
  <si>
    <t>DSA_low</t>
  </si>
  <si>
    <t>DSA_high</t>
  </si>
  <si>
    <t>PSA_dis</t>
  </si>
  <si>
    <t>PSA_param1</t>
  </si>
  <si>
    <t>PSA_param2</t>
  </si>
  <si>
    <t>Description</t>
  </si>
  <si>
    <t>Label_R</t>
  </si>
  <si>
    <t>Link</t>
  </si>
  <si>
    <t>Details from Ref</t>
  </si>
  <si>
    <t>Currency</t>
  </si>
  <si>
    <t>price_year_original</t>
  </si>
  <si>
    <t>category_for_index</t>
  </si>
  <si>
    <t>value_inflated</t>
  </si>
  <si>
    <t>Source_index</t>
  </si>
  <si>
    <t>From a meta-analysis</t>
  </si>
  <si>
    <t>normal</t>
  </si>
  <si>
    <t>SMD_pain</t>
  </si>
  <si>
    <t>Effect size on pain</t>
  </si>
  <si>
    <t>SMD=-0.5, 95%CI: -1.13, 0.13, N_intervention:291, N_control = 287</t>
  </si>
  <si>
    <t>SMD_anxiety</t>
  </si>
  <si>
    <t>Effect size on anxiety</t>
  </si>
  <si>
    <t>SMD=-0.67, 95%CI: -1.29, -0.05, N_intervention:780, N_control = 1076</t>
  </si>
  <si>
    <t>SMD_depression</t>
  </si>
  <si>
    <t>Effect size on depression</t>
  </si>
  <si>
    <t>SMD=-0.63, 95%CI: -1.61, 0.35, N_intervention:548, N_control = 562</t>
  </si>
  <si>
    <t>SMD_satisfaction</t>
  </si>
  <si>
    <t>Effect size on satisfaction</t>
  </si>
  <si>
    <t>SMD=0.98, 95%CI: 0.46, 1.49. N_intervention:875, N_control = 619</t>
  </si>
  <si>
    <t>From literature &amp; calculation</t>
  </si>
  <si>
    <t>n_pt_compo1</t>
  </si>
  <si>
    <t>Total number of GP consultations per year</t>
  </si>
  <si>
    <t>Number of GP consulations annually</t>
  </si>
  <si>
    <t xml:space="preserve">https://digital.nhs.uk/data-and-information/publications/statistical/appointments-in-general-practice/april-2025 </t>
  </si>
  <si>
    <t>30.2m appointments were recorded across General Practice in England in April 2025 (we assume this is a monthly number), 44.1% of all appointments in April 2025 were carried out by a GP</t>
  </si>
  <si>
    <t>n_pt_compo2</t>
  </si>
  <si>
    <t>Total number of GP visits per patient per year</t>
  </si>
  <si>
    <t>Number of GP visits per patient annually</t>
  </si>
  <si>
    <t xml:space="preserve">https://bmjopen.bmj.com/content/11/12/e054666 </t>
  </si>
  <si>
    <t>8.3 (7.0–9.7) GP consultation per acitive patients in 2018–2019 (Table 1)</t>
  </si>
  <si>
    <t>formula_n_patients</t>
  </si>
  <si>
    <t>n_compo1/n_compo2</t>
  </si>
  <si>
    <t>beta</t>
  </si>
  <si>
    <t>Population-based prevalence estimates of chronic pain</t>
  </si>
  <si>
    <t>Chronic pain prevalence</t>
  </si>
  <si>
    <t>https://pmc.ncbi.nlm.nih.gov/articles/PMC4932255/</t>
  </si>
  <si>
    <t>The prevalence of chronic pain, derived from 7 studies, ranged from 35.0% to 51.3% (pooled estimate 43.5%, 95% CIs 38.4% to 48.6%)</t>
  </si>
  <si>
    <t>% of chronic pain in adults 2017 Health Survey for England</t>
  </si>
  <si>
    <t>https://assets.publishing.service.gov.uk/media/5fc8c6b78fa8f547585ed7f3/Chronic_Pain_Report.pdf</t>
  </si>
  <si>
    <t>34% of respondents reported some level of chronic pain which was unchanged from 2011</t>
  </si>
  <si>
    <t>prevalence of anxiety</t>
  </si>
  <si>
    <t>Anxiety prevalence</t>
  </si>
  <si>
    <t>McDaid 2022</t>
  </si>
  <si>
    <t>﻿Table 3 - Prevalence of mental disorders in the UK in 2019: Anxiety 30.58% (all ages)</t>
  </si>
  <si>
    <t>Prevalence of anxiety in primary care in England</t>
  </si>
  <si>
    <t xml:space="preserve">https://academic.oup.com/fampra/article-abstract/27/1/9/478534?redirectedFrom=fulltext </t>
  </si>
  <si>
    <t>The overall prevalence of anxiety was 7.2% (95% CI: 7.1–7.2)</t>
  </si>
  <si>
    <t>prevalence of depresison</t>
  </si>
  <si>
    <t>Depression prevalence</t>
  </si>
  <si>
    <t>﻿Table 3 - Prevalence of mental disorders in the UK in 2019: Depression 22.68% (all ages)</t>
  </si>
  <si>
    <t>Prevalence of depresson in primary care in England</t>
  </si>
  <si>
    <t xml:space="preserve">https://pmc.ncbi.nlm.nih.gov/articles/PMC7083582/#sec3 </t>
  </si>
  <si>
    <t>"Based on practice registers, mean % prevalence of depression ... for 2015–2016 were 8.38 (median: 8.21, IQR: 7.04–9.80),…"</t>
  </si>
  <si>
    <t>Total number of full-time GPs</t>
  </si>
  <si>
    <t>Number of GPs</t>
  </si>
  <si>
    <t xml:space="preserve">https://digital.nhs.uk/data-and-information/publications/statistical/general-and-personal-medical-services/31-may-2025 </t>
  </si>
  <si>
    <t>38,018 FTE GPs</t>
  </si>
  <si>
    <t>Total number of full-time fully qualified GPs</t>
  </si>
  <si>
    <t>28,249 FTE Fully qualified GPs (excludes GPs in Training Grade)</t>
  </si>
  <si>
    <t>n_provider_compo1</t>
  </si>
  <si>
    <t>n_provider_compo2</t>
  </si>
  <si>
    <t>formula_n_providers</t>
  </si>
  <si>
    <t>threshold of pain score</t>
  </si>
  <si>
    <t>Pain threshold</t>
  </si>
  <si>
    <t xml:space="preserve">https://bmjopen.bmj.com/content/13/11/e073096.long#DC1 </t>
  </si>
  <si>
    <t>Chronic pain episodes that did not require substantial intervention from the healthcare system, and thereby did not comprise a moderate-to-severe pain event, were classified as mild chronic pain</t>
  </si>
  <si>
    <t>threshold of CIS-R score for patients with anxiety</t>
  </si>
  <si>
    <t>Anxiety threshold</t>
  </si>
  <si>
    <t xml:space="preserve">See the APMS 2023/4 Methods documentation for a description of the CIS-R. A score of 12 indicates a level of common mental health symptoms that is likely to benefit from clinical recognition. </t>
  </si>
  <si>
    <t>threshold of CIS-R score for patients with depression</t>
  </si>
  <si>
    <t>Depression threshold</t>
  </si>
  <si>
    <t>Mean pain score scale 0-3 of the population under empathic care</t>
  </si>
  <si>
    <t>Calculation</t>
  </si>
  <si>
    <t>Assuming SD_ctrl = SD_int =&gt; SD_pooled = SD_ctrl =&gt; mean_int=mean_ctrl+SD_ctrl*SMD</t>
  </si>
  <si>
    <t>Mean CIS-R score of patients with anxiety under empathic care</t>
  </si>
  <si>
    <t>Mean CIS-R score of patients with depression under empathic care</t>
  </si>
  <si>
    <t>Mean pain score scale 0-3</t>
  </si>
  <si>
    <t>Pain score under usual care</t>
  </si>
  <si>
    <t>Among cases, at index 4649 patients (20.2%) had mild pain, 2227 (9.7%) had moderate pain and 16 140 (70.1%) had severe pain. (we transform the pain level from categorical to continuous scale (mild-1, moderate-2, severe-3</t>
  </si>
  <si>
    <t>Mean CIS-R score of patients with anxiety under standard of care</t>
  </si>
  <si>
    <t>Anxiety score under usual care</t>
  </si>
  <si>
    <t xml:space="preserve">https://digital.nhs.uk/data-and-information/publications/statistical/adult-psychiatric-morbidity-survey/survey-of-mental-health-and-wellbeing-england-2023-24/mental-health-treatment-and-service-use </t>
  </si>
  <si>
    <t>Patients with Generalised anxiety disorder: Mean CIS-R score = 21.7, SE = 0.57, N=547 (Table 2.4)</t>
  </si>
  <si>
    <t>Mean CIS-R score of patients with depression under standard of care</t>
  </si>
  <si>
    <t>Depression score under usual care</t>
  </si>
  <si>
    <t>Patients with Depressive episode: Mean CIS-R score = 27.9, SE = 0.83, N=308 (Table 2.4)</t>
  </si>
  <si>
    <t>Standard deviation of pain score</t>
  </si>
  <si>
    <t>Standard deviation of anxiety score</t>
  </si>
  <si>
    <t>Standard deviation of depression score</t>
  </si>
  <si>
    <t>gamma</t>
  </si>
  <si>
    <t>Cost of online training per GP</t>
  </si>
  <si>
    <t>Training online cost</t>
  </si>
  <si>
    <t>Expert facilitator (1): 200;
Training for facilitator: 10;
Admin support (1/2 day): 100;
Resources 0;
Lunch + refreshments 0; 
Total_cost: 310
Cost per HCP: 3.1</t>
  </si>
  <si>
    <t>Cost of f2f training per GP</t>
  </si>
  <si>
    <t>Training offline cost</t>
  </si>
  <si>
    <t>Expert facilitator (1): 200;
Training for facilitator: 10;
Admin support (1/2 day): 100;
Resources 50;
Lunch + refreshments 1000; 
Total_cost: 1460
Cost per HCP: 14.6</t>
  </si>
  <si>
    <t>Training duration for an online program</t>
  </si>
  <si>
    <t>Training online duration</t>
  </si>
  <si>
    <t>Training duration for a face-to-face program</t>
  </si>
  <si>
    <t>Training offline duration</t>
  </si>
  <si>
    <t>Number of training sessions</t>
  </si>
  <si>
    <t>Opportunity cost of GPs (taking the training course instead of working)</t>
  </si>
  <si>
    <t>Opportunity cost of GP</t>
  </si>
  <si>
    <t>PSSRU 2024</t>
  </si>
  <si>
    <t>Table 9.4.2. ﻿Per hour of GMS activity ﻿Including direct care staff costs - ﻿With qualification costs: 161. (﻿GMS: General Medical Service)</t>
  </si>
  <si>
    <t>Cost associated with reduced pain per patient</t>
  </si>
  <si>
    <t>Saving from reduced pain per patient</t>
  </si>
  <si>
    <t xml:space="preserve">https://journals.sagepub.com/doi/10.1177/2049463719865286#sec-3 </t>
  </si>
  <si>
    <t>The cost of health care for those who engaged in the programme was £240.30 less per patient than those who did not engage</t>
  </si>
  <si>
    <t>In the first 12 months postindexing, mean total costs incurred by cases were four times higher versus matched controls (£256 vs £62). Cost year: 2019</t>
  </si>
  <si>
    <t>£</t>
  </si>
  <si>
    <t>NHSII pay and prices</t>
  </si>
  <si>
    <t>Cost associated with improved anxiety per patient</t>
  </si>
  <si>
    <t>Saving from improved anxiety per patient</t>
  </si>
  <si>
    <t>﻿Table 6-Annual cost by mental health condition, UK, 2019 (£ millions): anxiety 20,406 (total UK); ﻿10.3 million cases of mental health conditions, prevalence 30.58%</t>
  </si>
  <si>
    <t>Cost associated with improved depression per patient</t>
  </si>
  <si>
    <t>Saving from improved depression per patient</t>
  </si>
  <si>
    <t>﻿Table 6-Annual cost by mental health condition, UK, 2019 (£ millions): anxiety ﻿26,286 (total UK). 10.3 million cases of mental health conditions, prevalence 22.68%</t>
  </si>
  <si>
    <t>Cost associated with extended consultation duration per minutes</t>
  </si>
  <si>
    <t>Cost of extending consultation</t>
  </si>
  <si>
    <t xml:space="preserve">https://www.pssru.ac.uk/unitcostsreport/ </t>
  </si>
  <si>
    <t>Table 9.4.2. Unit cost 2023/2024 ﻿Per minute of patient contact £4.47</t>
  </si>
  <si>
    <t>Extened duration (in munites)</t>
  </si>
  <si>
    <t>Extended consultation duration</t>
  </si>
  <si>
    <t>Assumption</t>
  </si>
  <si>
    <t>NA</t>
  </si>
  <si>
    <t>Proportion of patients satisfied with the empathic care at GP</t>
  </si>
  <si>
    <t>To estimate the intervention group satisfaction rate from a known control group satisfaction rate and SMD, assume satisfaction is determined by a latent standard normal variable. The control group’s satisfaction rate defines a threshold on this latent scale. The SMD shifts the mean of this distribution, and the resulting cumulative probability gives the intervention group’s expected satisfaction rate.</t>
  </si>
  <si>
    <t>Proportion of patients satisfied with the standard of care at GP</t>
  </si>
  <si>
    <t>Satisfaction rate under usual care</t>
  </si>
  <si>
    <t xml:space="preserve">https://gp-patient.co.uk/downloads/2023/GPPS_2023_National_report_PUBLIC.pdf </t>
  </si>
  <si>
    <t>71.3% of patients rated their overall experience of their GP practice as good</t>
  </si>
  <si>
    <t>d_absent_per_hcp</t>
  </si>
  <si>
    <t>Number of absent days due to burnout among GPs annually</t>
  </si>
  <si>
    <t>Days absent per GP</t>
  </si>
  <si>
    <t>IPPO report (ref 42 burnout</t>
  </si>
  <si>
    <t>Table 3: Days absent due to mental health, in Doctors: 151329; number of Doctors: 132,113</t>
  </si>
  <si>
    <t>c_hcp_day_rate</t>
  </si>
  <si>
    <t>Cost of an absent day</t>
  </si>
  <si>
    <t>Day wage per GP</t>
  </si>
  <si>
    <t>Table 3: FTE daily rate of Doctors</t>
  </si>
  <si>
    <t>NHSII pay</t>
  </si>
  <si>
    <t>r_absent_reduct</t>
  </si>
  <si>
    <t>Percentage reduction in absent days due to the intervention</t>
  </si>
  <si>
    <t>Reduction rate in absent days under intervention</t>
  </si>
  <si>
    <t>n_complaints</t>
  </si>
  <si>
    <t>Number of written complaints in GP 2023/2024</t>
  </si>
  <si>
    <t>Number of complaints</t>
  </si>
  <si>
    <t xml:space="preserve">https://digital.nhs.uk/data-and-information/publications/statistical/data-on-written-complaints-in-the-nhs/2023-24 </t>
  </si>
  <si>
    <t>Table 5 data file of written complaints 2023/2024: the numer of complaints in GP is 113041</t>
  </si>
  <si>
    <t>c_complaint</t>
  </si>
  <si>
    <t>Cost associated with reducing one complaint</t>
  </si>
  <si>
    <t>Cost per complaint</t>
  </si>
  <si>
    <t>National audit office report 2008</t>
  </si>
  <si>
    <t>"﻿﻿﻿In 2006-07, The estimated cost of handling and review of NHS complaints
was £89 million" "﻿The NHS Received 133,400 written complaints" =&gt; cost per complaint: =89e6/133400=677</t>
  </si>
  <si>
    <t>PSSRU 2024 and 2016</t>
  </si>
  <si>
    <t>r_complaint_reduct</t>
  </si>
  <si>
    <t>intervention effect on complaints</t>
  </si>
  <si>
    <t>Reduction rate in complaints</t>
  </si>
  <si>
    <t>table 6 Data file of writeen complaints 2023/2024 showed that 12.7% complaints were due to communication. In the discussion/ explanation, we can explain that this is a conservative assumption, improved empathy can prevent complaints due to other reasons, for example: delayed diagnosis or medical error.</t>
  </si>
  <si>
    <t>label_outcome_1</t>
  </si>
  <si>
    <t>Pain</t>
  </si>
  <si>
    <t>label_outcome_2</t>
  </si>
  <si>
    <t>Anxiety</t>
  </si>
  <si>
    <t>label_outcome_3</t>
  </si>
  <si>
    <t>Depression</t>
  </si>
  <si>
    <t xml:space="preserve">https://pmc.ncbi.nlm.nih.gov/articles/PMC11987160/ </t>
  </si>
  <si>
    <t>"Some maternity hospitals/units had dedicated RM clinics"</t>
  </si>
  <si>
    <t>Number of women diagnosed with recurrent miscarriage, ﻿defined as at least 3 pregnancy losses</t>
  </si>
  <si>
    <t>https://obgyn.onlinelibrary.wiley.com/doi/10.1111/1471-0528.17515</t>
  </si>
  <si>
    <t>Definition of recurrent miscarriage in the UK:3 or more pregnancy losses. Assuming 30% of woment with recurrent miscarriage seek for care annually</t>
  </si>
  <si>
    <t>Prevalence of recurrent miscarriage</t>
  </si>
  <si>
    <t xml:space="preserve">https://www.sciencedirect.com/science/article/pii/S0140673621006826 </t>
  </si>
  <si>
    <t>The average population prevalence of women who have...three or more miscarriages is 0·7% (0·5–0·8%)</t>
  </si>
  <si>
    <t>Total number of women aged 15-49 in the UK</t>
  </si>
  <si>
    <t xml:space="preserve">https://www.ons.gov.uk/peoplepopulationandcommunity/populationandmigration/populationestimates/datasets/populationestimatesforukenglandandwalesscotlandandnorthernireland </t>
  </si>
  <si>
    <t xml:space="preserve">Based on Mid-2023 dataset - sheet MYE2 - Females, the total number of women aged 15-49 =  15,340,682 </t>
  </si>
  <si>
    <t>Number of women aged 15-49</t>
  </si>
  <si>
    <t>n_pt_compo1*n_pt_compo2</t>
  </si>
  <si>
    <t>Number of nurses specialized in recurrent miscarriage care</t>
  </si>
  <si>
    <t>Estimation</t>
  </si>
  <si>
    <t>Given the absence of standardized UK-specific data on case volumn of specialist nurse, we estimate the number of nurses as follow: estimated nurse's time per case = 2 hours, a full-time nurse band 5-6 works: 7.5 hours/day *209 days/year (table 11.2.2 PSSRU), 83% time for patient-related work (table 12.5.1)</t>
  </si>
  <si>
    <t>lognormal</t>
  </si>
  <si>
    <t>Consultation duration (hours)</t>
  </si>
  <si>
    <t>Consultation duration</t>
  </si>
  <si>
    <t>Annual working hours per nurse</t>
  </si>
  <si>
    <t>PSSRU</t>
  </si>
  <si>
    <t>Annual working hours/nurse</t>
  </si>
  <si>
    <t>(n_pt_compo1*n_pt_compo2)*n_provider_compo1/n_provider_compo2</t>
  </si>
  <si>
    <t xml:space="preserve">Threshold of stress core based on Perceived Stress Scale </t>
  </si>
  <si>
    <t xml:space="preserve">https://pmc.ncbi.nlm.nih.gov/articles/PMC8896373/ </t>
  </si>
  <si>
    <t>"the recommended cut-off scores: 0–13 low stress; 14–26 moderate stress; 27–40 high stress.16" (ref 16 is not accessible)</t>
  </si>
  <si>
    <t>Stress threshold</t>
  </si>
  <si>
    <t>Threshold of depression core based on EPDS</t>
  </si>
  <si>
    <t xml:space="preserve">https://www.bmj.com/content/371/bmj.m4022 </t>
  </si>
  <si>
    <t>A systematic review and meta-analysis concludes:"An EPDS cut-off value of 11 or higher maximised combined sensitivity and specificity; a cut-off value of 13 or higher was less sensitive but more specific. To identify pregnant and postpartum women with higher symptom levels, a cut-off of 13 or higher could be used."</t>
  </si>
  <si>
    <t>stress ﻿PSS post-test score of the population under empathic care</t>
  </si>
  <si>
    <t>Chang 2021</t>
  </si>
  <si>
    <t>Table 2: experimental PSS posttest mean=13.1, sd=6.41</t>
  </si>
  <si>
    <t>Stress score under intervention</t>
  </si>
  <si>
    <t>Post-test EPDS score of patients with depression under empathic care (only use this for scenario analysis)</t>
  </si>
  <si>
    <t>Table 2: experimental SPDS posttest mean=7.77, sd=4.42</t>
  </si>
  <si>
    <t>Stress ﻿PSS post-test score of the population under standard of care</t>
  </si>
  <si>
    <t>Table 2: Control PSS posttest mean=15.71, sd=5.92</t>
  </si>
  <si>
    <t>Stress score under usual care</t>
  </si>
  <si>
    <t>Depression EPDS post-test score of patients under standard of care</t>
  </si>
  <si>
    <t>Table 2: Control SPDS posttest mean=8.79, sd=4.86</t>
  </si>
  <si>
    <t>Standard deviation - stress</t>
  </si>
  <si>
    <t>Standard deviation - depresssion</t>
  </si>
  <si>
    <t>Cost of online training per nurse</t>
  </si>
  <si>
    <t>Cost of f2f training per nurse</t>
  </si>
  <si>
    <t>Opportunity cost of nurses (taking the training course instead of working)</t>
  </si>
  <si>
    <t>﻿Table 11.2.2: Annual and unit costs for hospital-based nurses. ﻿Cost per hour (including qualifications) Band 5: ﻿£52 for basecase, DSA range: band 4- band 7:  ﻿£43-73</t>
  </si>
  <si>
    <t>Opportunity cost of nurse</t>
  </si>
  <si>
    <t>Cost associated with reduced stress per patient</t>
  </si>
  <si>
    <t>https://eprints.lse.ac.uk/59885/1/__lse.ac.uk_storage_LIBRARY_Secondary_libfile_shared_repository_Content_Bauer%2C%20M_Bauer_Costs_perinatal_%20mental_2014_Bauer_Costs_perinatal_mental_2014_author.pdf</t>
  </si>
  <si>
    <t>This document did not confirm that stress doesn't cost money, but cost of stress wasn't mentioned while cost of other conditions were. Nigel agreed with this assumption and suggest to mention this conservative assumption in the discussion</t>
  </si>
  <si>
    <t>Saving from reduced stress per patient</t>
  </si>
  <si>
    <t>https://pubmed.ncbi.nlm.nih.gov/25031113/</t>
  </si>
  <si>
    <t>"﻿Hypothesis tests of the PSS consistently demonstrated a satisfactory correlation with depression or anxiety" but correlation doesn't mean equal. Moreover, cost of anxiety is larger than cost of recurrent miscarriage which consists of medical and psychological care =&gt; over estimate</t>
  </si>
  <si>
    <t>Costs of perinatal depression 1,688 pounds per case (2014, table 1)</t>
  </si>
  <si>
    <t>Saving from reduced depression per patient</t>
  </si>
  <si>
    <t>PSSRU 2024 and 2020</t>
  </si>
  <si>
    <t>Cost of a consultation session</t>
  </si>
  <si>
    <t>https://www.p4fertility.co.uk/services/recurrent-miscarriage</t>
  </si>
  <si>
    <t>No NHS cost is available. Private cost is around 200</t>
  </si>
  <si>
    <t>Consultation fee</t>
  </si>
  <si>
    <t>Assuming each consultation section lasts for 1 hour, the cost of the consultation = nurse wage per hour</t>
  </si>
  <si>
    <t>Number of extra consultation sessions</t>
  </si>
  <si>
    <t>"﻿Face-to-face counseling interventions were offered at 1, 5, and 12 weeks after enrollment"</t>
  </si>
  <si>
    <t>Extra consultation sessions</t>
  </si>
  <si>
    <t>In the control group, we assume the underlying satisfaction tendency follows N(0,1). The SMD shifts the mean of this distribution, and the resulting cumulative probability gives the intervention group’s expected satisfaction rate.</t>
  </si>
  <si>
    <t>Proportion of patients satisfied with the standard of care of nurses</t>
  </si>
  <si>
    <t xml:space="preserve">https://pmc.ncbi.nlm.nih.gov/articles/PMC10064661/#Sec12 </t>
  </si>
  <si>
    <t>Fig 1: answer to the question "How would you eate your experience of the care you received for RM?" 44% poor, 39% satisfactory, 17% good</t>
  </si>
  <si>
    <t>Number of absent days due to burnout among nurses annually</t>
  </si>
  <si>
    <t>Table 3: Days absent due to mental health, in Nurses: ﻿1,567,605; number of Nurses: ﻿﻿347,385</t>
  </si>
  <si>
    <t>Table 3: FTE daily rate of Nurses</t>
  </si>
  <si>
    <t>estimated number of complaints in recurrent miscarriage care</t>
  </si>
  <si>
    <t>There is no data on the number of complaints occur in clinics or maternity unit related to recurrent miscarriage care. We applied the proportion of complaints among total GP consultations in this case: N_complaints_nurses = N_complaints_GP/N_consultations*N_patients_miscarriage</t>
  </si>
  <si>
    <t>Saving from reduced one complaint</t>
  </si>
  <si>
    <t>table 3 Data file of writeen complaints 2023/2024 in NHS Hospital and Community Health Services showed that 17.1% complaints were due to communication</t>
  </si>
  <si>
    <t>﻿Annual % increases on the previous year</t>
  </si>
  <si>
    <t>HCHS/NHS inflators all sectors</t>
  </si>
  <si>
    <t>PSSRU 2020</t>
  </si>
  <si>
    <t>PSSRU 2016</t>
  </si>
  <si>
    <t>(NHS Providers)</t>
  </si>
  <si>
    <t>Annual % increases on previous year</t>
  </si>
  <si>
    <t>NHSCII prices</t>
  </si>
  <si>
    <t xml:space="preserve">NHSCII pay </t>
  </si>
  <si>
    <t>NHSCII pay and prices</t>
  </si>
  <si>
    <t>Year</t>
  </si>
  <si>
    <t>HCHS prices</t>
  </si>
  <si>
    <t>HCHS pay</t>
  </si>
  <si>
    <t>HCHS pay and prices</t>
  </si>
  <si>
    <t>pay and prices index</t>
  </si>
  <si>
    <t>2015/2016</t>
  </si>
  <si>
    <t>2009/2010</t>
  </si>
  <si>
    <t>2006/07</t>
  </si>
  <si>
    <t>2016/2017</t>
  </si>
  <si>
    <t>2010/2011</t>
  </si>
  <si>
    <t xml:space="preserve">2015/16 </t>
  </si>
  <si>
    <t>2017/2018</t>
  </si>
  <si>
    <t>2011/2012</t>
  </si>
  <si>
    <t>2018/2019</t>
  </si>
  <si>
    <t>2012/2013</t>
  </si>
  <si>
    <t>2019/2020</t>
  </si>
  <si>
    <t>2013/2014</t>
  </si>
  <si>
    <t>2020/2021</t>
  </si>
  <si>
    <t>2014/2015</t>
  </si>
  <si>
    <t>2021/2022</t>
  </si>
  <si>
    <t>2022/2023</t>
  </si>
  <si>
    <t>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</si>
</sst>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2"/>
      <color rgb="FFFF0000"/>
      <name val="Aptos Narrow"/>
      <family val="2"/>
      <scheme val="minor"/>
    </font>
    <font>
      <b/>
      <sz val="12"/>
      <color theme="1"/>
      <name val="Aptos Narrow"/>
      <scheme val="minor"/>
    </font>
    <font>
      <u/>
      <sz val="12"/>
      <color theme="10"/>
      <name val="Aptos Narrow"/>
      <family val="2"/>
      <scheme val="minor"/>
    </font>
    <font>
      <sz val="12"/>
      <name val="Aptos Narrow"/>
      <family val="2"/>
      <scheme val="minor"/>
    </font>
    <font>
      <sz val="10"/>
      <color rgb="FFFF0000"/>
      <name val="Arial Unicode MS"/>
      <family val="2"/>
    </font>
    <font>
      <sz val="8"/>
      <name val="Aptos Narrow"/>
      <family val="2"/>
      <scheme val="minor"/>
    </font>
    <font>
      <sz val="12"/>
      <color rgb="FF92D050"/>
      <name val="Aptos Narrow"/>
      <family val="2"/>
      <scheme val="minor"/>
    </font>
    <font>
      <sz val="12"/>
      <color rgb="FF000000"/>
      <name val="Aptos Narrow"/>
      <family val="2"/>
      <scheme val="minor"/>
    </font>
    <font>
      <sz val="12"/>
      <color theme="9"/>
      <name val="Aptos Narrow"/>
      <family val="2"/>
      <scheme val="minor"/>
    </font>
    <font>
      <sz val="10"/>
      <color rgb="FF000000"/>
      <name val="Helvetica"/>
      <family val="2"/>
    </font>
    <font>
      <b/>
      <sz val="11"/>
      <color theme="1"/>
      <name val="Aptos Narrow"/>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0" fillId="0" borderId="0" xfId="0" applyAlignment="1">
      <alignment wrapText="1"/>
    </xf>
    <xf numFmtId="2" fontId="0" fillId="0" borderId="0" xfId="0" applyNumberFormat="1"/>
    <xf numFmtId="0" fontId="1" fillId="0" borderId="0" xfId="0" applyFont="1"/>
    <xf numFmtId="0" fontId="2" fillId="2" borderId="0" xfId="0" applyFont="1" applyFill="1"/>
    <xf numFmtId="0" fontId="0" fillId="3" borderId="0" xfId="0" applyFill="1"/>
    <xf numFmtId="0" fontId="3" fillId="0" borderId="0" xfId="1"/>
    <xf numFmtId="0" fontId="0" fillId="0" borderId="0" xfId="0" applyAlignment="1">
      <alignment horizontal="left" indent="2"/>
    </xf>
    <xf numFmtId="0" fontId="4" fillId="0" borderId="0" xfId="0" applyFont="1"/>
    <xf numFmtId="0" fontId="5" fillId="0" borderId="0" xfId="0" applyFont="1"/>
    <xf numFmtId="3" fontId="0" fillId="0" borderId="0" xfId="0" applyNumberFormat="1"/>
    <xf numFmtId="0" fontId="4" fillId="0" borderId="0" xfId="1" applyFont="1"/>
    <xf numFmtId="0" fontId="3" fillId="3" borderId="0" xfId="1" applyFill="1"/>
    <xf numFmtId="2" fontId="7" fillId="0" borderId="0" xfId="0" applyNumberFormat="1" applyFont="1"/>
    <xf numFmtId="0" fontId="7" fillId="0" borderId="0" xfId="0" applyFont="1"/>
    <xf numFmtId="0" fontId="2" fillId="3" borderId="0" xfId="0" applyFont="1" applyFill="1"/>
    <xf numFmtId="0" fontId="1" fillId="4" borderId="0" xfId="0" applyFont="1" applyFill="1"/>
    <xf numFmtId="2" fontId="4" fillId="0" borderId="0" xfId="0" applyNumberFormat="1" applyFont="1"/>
    <xf numFmtId="0" fontId="8" fillId="0" borderId="0" xfId="0" applyFont="1"/>
    <xf numFmtId="0" fontId="8" fillId="0" borderId="0" xfId="0" applyFont="1" applyAlignment="1">
      <alignment wrapText="1"/>
    </xf>
    <xf numFmtId="3" fontId="8" fillId="0" borderId="0" xfId="0" applyNumberFormat="1" applyFont="1"/>
    <xf numFmtId="0" fontId="9" fillId="0" borderId="0" xfId="0" applyFont="1"/>
    <xf numFmtId="10" fontId="0" fillId="0" borderId="0" xfId="0" applyNumberFormat="1"/>
    <xf numFmtId="1" fontId="0" fillId="0" borderId="0" xfId="0" applyNumberFormat="1"/>
    <xf numFmtId="0" fontId="10" fillId="0" borderId="0" xfId="0" applyFont="1"/>
    <xf numFmtId="0" fontId="3" fillId="0" borderId="0" xfId="1" applyFill="1"/>
    <xf numFmtId="0" fontId="0" fillId="0" borderId="1" xfId="0" applyBorder="1"/>
    <xf numFmtId="0" fontId="11"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Pham, TH (gzw)" id="{819E5ED6-95F1-2F41-8533-BB4952D2DDE1}" userId="S::t.h.pham@umcg.nl::3a5ab770-816e-4767-88da-e0aee7a7ef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9" dT="2025-08-14T12:30:56.09" personId="{819E5ED6-95F1-2F41-8533-BB4952D2DDE1}" id="{80045DE9-4358-DF4F-BF6C-71F5BABC8290}">
    <text>CIS-R ranges from 0-57</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5-08-15T11:13:32.86" personId="{819E5ED6-95F1-2F41-8533-BB4952D2DDE1}" id="{1D762529-F4D8-B84A-A1D0-D4A14C93A028}">
    <text>This is the chosen mean among different sources</text>
  </threadedComment>
  <threadedComment ref="H1" dT="2025-08-15T08:15:06.19" personId="{819E5ED6-95F1-2F41-8533-BB4952D2DDE1}" id="{5F92CC52-4216-7A4B-B4D1-1D55315B94D4}">
    <text xml:space="preserve">- normal: Param1 = mean, Param2 = sd 
- lognormal: Param1 = meanlog, Param2 = sdlog 
- beta: Param1 = alpha, Param2 = beta
- gamma: Param1 = shape, Param2 = rate </text>
  </threadedComment>
  <threadedComment ref="Q1" dT="2025-09-10T08:34:15.17" personId="{819E5ED6-95F1-2F41-8533-BB4952D2DDE1}" id="{B7F8C9D9-6E39-CB45-88FB-AB01FA693609}">
    <text>nhs_pay, nhs_prices or nhs pay and prices</text>
  </threadedComment>
  <threadedComment ref="H12" dT="2025-08-18T08:02:36.81" personId="{819E5ED6-95F1-2F41-8533-BB4952D2DDE1}" id="{4F0A6A4D-35C6-6F42-8E2D-28DA06169B7A}">
    <text xml:space="preserve">In beta distribution, known mean and 95% CI:
- calculate SE= (upr−lwr)/4
- Calculate alpha and beta
alpha &lt;- m * ((m * (1 - m) / SE^2) - 1)
beta &lt;- (1 - m) * ((m * (1 - m) / SE^2) - 1)
</text>
  </threadedComment>
  <threadedComment ref="E27" dT="2025-07-18T09:34:35.15" personId="{819E5ED6-95F1-2F41-8533-BB4952D2DDE1}" id="{68FBF57B-A0B8-BE45-A108-89DF25E940F8}">
    <text>assume that mean_int and mean_ctrl follow normal distribution with the same SD</text>
  </threadedComment>
  <threadedComment ref="F28" dT="2025-08-14T12:39:52.16" personId="{819E5ED6-95F1-2F41-8533-BB4952D2DDE1}" id="{B8A121AE-755E-9E43-86C0-A4EDE5931BCF}">
    <text>=ROUND(F26+F6*E26,2) = -1.13 . Depression score can not be negative =&gt; consider 0</text>
  </threadedComment>
  <threadedComment ref="E30" dT="2025-07-18T09:34:35.15" personId="{819E5ED6-95F1-2F41-8533-BB4952D2DDE1}" id="{CF584E2F-6387-EA46-8EEF-BD76AA1317FD}">
    <text>This should be SD, not SE</text>
  </threadedComment>
  <threadedComment ref="G31" dT="2025-08-14T12:30:56.09" personId="{819E5ED6-95F1-2F41-8533-BB4952D2DDE1}" id="{7F771C8D-5EC1-F143-AD98-AB58A809A1A6}">
    <text>CIS-R ranges from 0-57</text>
  </threadedComment>
  <threadedComment ref="G32" dT="2025-08-14T12:30:56.09" personId="{819E5ED6-95F1-2F41-8533-BB4952D2DDE1}" id="{0A7DAD96-06B7-564B-983A-BA2FD2BFFBBB}">
    <text>CIS-R ranges from 0-57</text>
  </threadedComment>
  <threadedComment ref="H35" dT="2025-08-18T08:30:52.39" personId="{819E5ED6-95F1-2F41-8533-BB4952D2DDE1}" id="{A924588A-545A-A042-9E3A-8A78770F8CBD}">
    <text xml:space="preserve">consider DSA low and high is 95%CI. Then we
- calculate SE: (upr−lwr)/(1.96*2) (=SD)
- shape = mean^2 / SE^2
- scale = SE^2/mean
</text>
  </threadedComment>
  <threadedComment ref="H52" dT="2025-08-18T09:18:24.23" personId="{819E5ED6-95F1-2F41-8533-BB4952D2DDE1}" id="{64F7B7FB-F97F-AF48-8006-1128113C6F6A}">
    <text>calculate:
- mu = ln(mean^2 / sqrt(SE^2 + mean^2))
sigma = sqrt(ln(1 + SE^2 / mean^2))</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5-08-19T14:08:43.66" personId="{819E5ED6-95F1-2F41-8533-BB4952D2DDE1}" id="{B3B3D132-CFFA-C941-A6CC-DB4B4A3AAC99}">
    <text>For the base-case analysis, we use post-test values of outcomes</text>
  </threadedComment>
  <threadedComment ref="C1" dT="2025-08-15T11:13:32.86" personId="{819E5ED6-95F1-2F41-8533-BB4952D2DDE1}" id="{6D73338F-7A3E-9046-9F3F-12F5277690A6}">
    <text>This is the chosen mean among different sources</text>
  </threadedComment>
  <threadedComment ref="H1" dT="2025-08-15T08:15:06.19" personId="{819E5ED6-95F1-2F41-8533-BB4952D2DDE1}" id="{F02B2F48-90FF-F044-A039-E433845C6E1D}">
    <text xml:space="preserve">- normal: Param1 = mean, Param2 = sd 
- lognormal: Param1 = meanlog, Param2 = sdlog 
- beta: Param1 = alpha, Param2 = beta
- gamma: Param1 = shape, Param2 = rate </text>
  </threadedComment>
  <threadedComment ref="Q1" dT="2025-09-10T08:34:15.17" personId="{819E5ED6-95F1-2F41-8533-BB4952D2DDE1}" id="{5B5D9A5D-F81F-B043-813B-2517C823F795}">
    <text>nhs_pay, nhs_prices or nhs pay and prices</text>
  </threadedComment>
  <threadedComment ref="H7" dT="2025-08-18T08:02:36.81" personId="{819E5ED6-95F1-2F41-8533-BB4952D2DDE1}" id="{81BF3719-40D3-6E44-B5FB-961FE7086467}">
    <text xml:space="preserve">In beta distribution, known mean and 95% CI:
- calculate SE= (upr−lwr)/4
- Calculate alpha and beta
alpha &lt;- m * ((m * (1 - m) / SE^2) - 1)
beta &lt;- (1 - m) * ((m * (1 - m) / SE^2) - 1)
</text>
  </threadedComment>
  <threadedComment ref="M7" dT="2025-07-22T13:14:57.44" personId="{819E5ED6-95F1-2F41-8533-BB4952D2DDE1}" id="{DDBC6454-859A-1C42-B5BD-95AF5229F4BF}">
    <text>There is no national collection of data of miscarriage in England and Wales
https://www.sciencedirect.com/science/article/pii/S2666776225001358</text>
    <extLst>
      <x:ext xmlns:xltc2="http://schemas.microsoft.com/office/spreadsheetml/2020/threadedcomments2" uri="{F7C98A9C-CBB3-438F-8F68-D28B6AF4A901}">
        <xltc2:checksum>3341819801</xltc2:checksum>
        <xltc2:hyperlink startIndex="76" length="67" url="https://www.sciencedirect.com/science/article/pii/S2666776225001358"/>
      </x:ext>
    </extLst>
  </threadedComment>
  <threadedComment ref="D21" dT="2025-08-12T15:09:20.87" personId="{819E5ED6-95F1-2F41-8533-BB4952D2DDE1}" id="{C2F6819B-634D-8547-A1AD-8D248BF37604}">
    <text>choose this value in scenario analysis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www.pssru.ac.uk/unitcostsreport/" TargetMode="External"/><Relationship Id="rId13" Type="http://schemas.openxmlformats.org/officeDocument/2006/relationships/hyperlink" Target="https://digital.nhs.uk/data-and-information/publications/statistical/adult-psychiatric-morbidity-survey/survey-of-mental-health-and-wellbeing-england-2023-24/mental-health-treatment-and-service-use" TargetMode="External"/><Relationship Id="rId18" Type="http://schemas.openxmlformats.org/officeDocument/2006/relationships/hyperlink" Target="https://digital.nhs.uk/data-and-information/publications/statistical/data-on-written-complaints-in-the-nhs/2023-24" TargetMode="External"/><Relationship Id="rId3" Type="http://schemas.openxmlformats.org/officeDocument/2006/relationships/hyperlink" Target="https://digital.nhs.uk/data-and-information/publications/statistical/appointments-in-general-practice/april-2025" TargetMode="External"/><Relationship Id="rId21" Type="http://schemas.microsoft.com/office/2017/10/relationships/threadedComment" Target="../threadedComments/threadedComment2.xml"/><Relationship Id="rId7" Type="http://schemas.openxmlformats.org/officeDocument/2006/relationships/hyperlink" Target="https://gp-patient.co.uk/downloads/2023/GPPS_2023_National_report_PUBLIC.pdf" TargetMode="External"/><Relationship Id="rId12" Type="http://schemas.openxmlformats.org/officeDocument/2006/relationships/hyperlink" Target="https://bmjopen.bmj.com/content/13/11/e073096.long" TargetMode="External"/><Relationship Id="rId17" Type="http://schemas.openxmlformats.org/officeDocument/2006/relationships/hyperlink" Target="https://digital.nhs.uk/data-and-information/publications/statistical/data-on-written-complaints-in-the-nhs/2023-24" TargetMode="External"/><Relationship Id="rId2" Type="http://schemas.openxmlformats.org/officeDocument/2006/relationships/hyperlink" Target="https://digital.nhs.uk/data-and-information/publications/statistical/general-and-personal-medical-services/31-may-2025" TargetMode="External"/><Relationship Id="rId16" Type="http://schemas.openxmlformats.org/officeDocument/2006/relationships/hyperlink" Target="https://academic.oup.com/fampra/article-abstract/27/1/9/478534?redirectedFrom=fulltext" TargetMode="External"/><Relationship Id="rId20" Type="http://schemas.openxmlformats.org/officeDocument/2006/relationships/comments" Target="../comments2.xml"/><Relationship Id="rId1" Type="http://schemas.openxmlformats.org/officeDocument/2006/relationships/hyperlink" Target="https://digital.nhs.uk/data-and-information/publications/statistical/general-and-personal-medical-services/31-may-2025" TargetMode="External"/><Relationship Id="rId6" Type="http://schemas.openxmlformats.org/officeDocument/2006/relationships/hyperlink" Target="https://assets.publishing.service.gov.uk/media/5fc8c6b78fa8f547585ed7f3/Chronic_Pain_Report.pdf" TargetMode="External"/><Relationship Id="rId11" Type="http://schemas.openxmlformats.org/officeDocument/2006/relationships/hyperlink" Target="https://bmjopen.bmj.com/content/13/11/e073096.long" TargetMode="External"/><Relationship Id="rId5" Type="http://schemas.openxmlformats.org/officeDocument/2006/relationships/hyperlink" Target="https://pmc.ncbi.nlm.nih.gov/articles/PMC4932255/" TargetMode="External"/><Relationship Id="rId15" Type="http://schemas.openxmlformats.org/officeDocument/2006/relationships/hyperlink" Target="https://pmc.ncbi.nlm.nih.gov/articles/PMC7083582/" TargetMode="External"/><Relationship Id="rId10" Type="http://schemas.openxmlformats.org/officeDocument/2006/relationships/hyperlink" Target="https://bmjopen.bmj.com/content/13/11/e073096.long" TargetMode="External"/><Relationship Id="rId19" Type="http://schemas.openxmlformats.org/officeDocument/2006/relationships/vmlDrawing" Target="../drawings/vmlDrawing2.vml"/><Relationship Id="rId4" Type="http://schemas.openxmlformats.org/officeDocument/2006/relationships/hyperlink" Target="https://bmjopen.bmj.com/content/11/12/e054666" TargetMode="External"/><Relationship Id="rId9" Type="http://schemas.openxmlformats.org/officeDocument/2006/relationships/hyperlink" Target="https://journals.sagepub.com/doi/10.1177/2049463719865286" TargetMode="External"/><Relationship Id="rId14" Type="http://schemas.openxmlformats.org/officeDocument/2006/relationships/hyperlink" Target="https://digital.nhs.uk/data-and-information/publications/statistical/adult-psychiatric-morbidity-survey/survey-of-mental-health-and-wellbeing-england-2023-24/mental-health-treatment-and-service-us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p4fertility.co.uk/services/recurrent-miscarriage" TargetMode="External"/><Relationship Id="rId13" Type="http://schemas.openxmlformats.org/officeDocument/2006/relationships/vmlDrawing" Target="../drawings/vmlDrawing3.vm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eprints.lse.ac.uk/59885/1/__lse.ac.uk_storage_LIBRARY_Secondary_libfile_shared_repository_Content_Bauer%2C%20M_Bauer_Costs_perinatal_%20mental_2014_Bauer_Costs_perinatal_mental_2014_author.pdf" TargetMode="External"/><Relationship Id="rId12" Type="http://schemas.openxmlformats.org/officeDocument/2006/relationships/hyperlink" Target="https://digital.nhs.uk/data-and-information/publications/statistical/data-on-written-complaints-in-the-nhs/2023-24" TargetMode="External"/><Relationship Id="rId2" Type="http://schemas.openxmlformats.org/officeDocument/2006/relationships/hyperlink" Target="https://www.sciencedirect.com/science/article/pii/S0140673621006826" TargetMode="External"/><Relationship Id="rId1" Type="http://schemas.openxmlformats.org/officeDocument/2006/relationships/hyperlink" Target="https://obgyn.onlinelibrary.wiley.com/doi/10.1111/1471-0528.17515" TargetMode="External"/><Relationship Id="rId6" Type="http://schemas.openxmlformats.org/officeDocument/2006/relationships/hyperlink" Target="https://pubmed.ncbi.nlm.nih.gov/25031113/" TargetMode="External"/><Relationship Id="rId11" Type="http://schemas.openxmlformats.org/officeDocument/2006/relationships/hyperlink" Target="https://pmc.ncbi.nlm.nih.gov/articles/PMC10064661/" TargetMode="External"/><Relationship Id="rId5" Type="http://schemas.openxmlformats.org/officeDocument/2006/relationships/hyperlink" Target="https://eprints.lse.ac.uk/59885/1/__lse.ac.uk_storage_LIBRARY_Secondary_libfile_shared_repository_Content_Bauer%2C%20M_Bauer_Costs_perinatal_%20mental_2014_Bauer_Costs_perinatal_mental_2014_author.pdf" TargetMode="External"/><Relationship Id="rId15" Type="http://schemas.microsoft.com/office/2017/10/relationships/threadedComment" Target="../threadedComments/threadedComment3.xml"/><Relationship Id="rId10" Type="http://schemas.openxmlformats.org/officeDocument/2006/relationships/hyperlink" Target="https://pmc.ncbi.nlm.nih.gov/articles/PMC8896373/" TargetMode="External"/><Relationship Id="rId4" Type="http://schemas.openxmlformats.org/officeDocument/2006/relationships/hyperlink" Target="https://pmc.ncbi.nlm.nih.gov/articles/PMC11987160/" TargetMode="External"/><Relationship Id="rId9" Type="http://schemas.openxmlformats.org/officeDocument/2006/relationships/hyperlink" Target="https://www.bmj.com/content/371/bmj.m4022" TargetMode="External"/><Relationship Id="rId1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225F0-BE0A-474B-9DC0-3653CF647495}">
  <dimension ref="A1:D40"/>
  <sheetViews>
    <sheetView workbookViewId="0">
      <selection activeCell="D1" sqref="D1"/>
    </sheetView>
  </sheetViews>
  <sheetFormatPr baseColWidth="10" defaultColWidth="11" defaultRowHeight="16" x14ac:dyDescent="0.2"/>
  <cols>
    <col min="1" max="1" width="17.33203125" customWidth="1"/>
    <col min="2" max="2" width="24.33203125" customWidth="1"/>
  </cols>
  <sheetData>
    <row r="1" spans="1:4" x14ac:dyDescent="0.2">
      <c r="A1" t="s">
        <v>0</v>
      </c>
      <c r="B1" t="s">
        <v>1</v>
      </c>
      <c r="C1" t="s">
        <v>2</v>
      </c>
      <c r="D1" s="16" t="s">
        <v>3</v>
      </c>
    </row>
    <row r="2" spans="1:4" x14ac:dyDescent="0.2">
      <c r="A2" t="s">
        <v>4</v>
      </c>
      <c r="B2">
        <v>-1.1299999999999999</v>
      </c>
      <c r="C2">
        <v>0.13</v>
      </c>
    </row>
    <row r="3" spans="1:4" x14ac:dyDescent="0.2">
      <c r="A3" t="s">
        <v>5</v>
      </c>
      <c r="B3">
        <v>-1.29</v>
      </c>
      <c r="C3">
        <v>-0.05</v>
      </c>
    </row>
    <row r="4" spans="1:4" x14ac:dyDescent="0.2">
      <c r="A4" t="s">
        <v>6</v>
      </c>
      <c r="B4">
        <v>-1.61</v>
      </c>
      <c r="C4">
        <v>0.35</v>
      </c>
    </row>
    <row r="5" spans="1:4" x14ac:dyDescent="0.2">
      <c r="A5" t="s">
        <v>7</v>
      </c>
      <c r="B5">
        <v>0.33</v>
      </c>
      <c r="C5">
        <v>1.33</v>
      </c>
    </row>
    <row r="6" spans="1:4" x14ac:dyDescent="0.2">
      <c r="A6" t="s">
        <v>8</v>
      </c>
      <c r="B6">
        <v>22831200</v>
      </c>
      <c r="C6">
        <v>16476124</v>
      </c>
    </row>
    <row r="7" spans="1:4" x14ac:dyDescent="0.2">
      <c r="A7" t="s">
        <v>9</v>
      </c>
      <c r="B7">
        <v>0.38400000000000001</v>
      </c>
      <c r="C7">
        <v>0.48599999999999999</v>
      </c>
    </row>
    <row r="8" spans="1:4" x14ac:dyDescent="0.2">
      <c r="A8" t="s">
        <v>10</v>
      </c>
      <c r="B8">
        <v>0.24464000000000002</v>
      </c>
      <c r="C8">
        <v>0.36696000000000001</v>
      </c>
    </row>
    <row r="9" spans="1:4" x14ac:dyDescent="0.2">
      <c r="A9" t="s">
        <v>11</v>
      </c>
      <c r="B9">
        <v>0.18144000000000002</v>
      </c>
      <c r="C9">
        <v>0.27216000000000001</v>
      </c>
    </row>
    <row r="10" spans="1:4" x14ac:dyDescent="0.2">
      <c r="A10" t="s">
        <v>12</v>
      </c>
      <c r="B10">
        <v>28249</v>
      </c>
      <c r="C10">
        <v>28249</v>
      </c>
    </row>
    <row r="11" spans="1:4" x14ac:dyDescent="0.2">
      <c r="A11" t="s">
        <v>13</v>
      </c>
      <c r="B11">
        <v>1</v>
      </c>
      <c r="C11">
        <v>1</v>
      </c>
    </row>
    <row r="12" spans="1:4" x14ac:dyDescent="0.2">
      <c r="A12" t="s">
        <v>14</v>
      </c>
      <c r="B12">
        <v>12</v>
      </c>
      <c r="C12">
        <v>12</v>
      </c>
    </row>
    <row r="13" spans="1:4" x14ac:dyDescent="0.2">
      <c r="A13" t="s">
        <v>15</v>
      </c>
      <c r="B13">
        <v>12</v>
      </c>
      <c r="C13">
        <v>12</v>
      </c>
    </row>
    <row r="14" spans="1:4" x14ac:dyDescent="0.2">
      <c r="A14" t="s">
        <v>16</v>
      </c>
    </row>
    <row r="15" spans="1:4" x14ac:dyDescent="0.2">
      <c r="A15" t="s">
        <v>17</v>
      </c>
    </row>
    <row r="16" spans="1:4" x14ac:dyDescent="0.2">
      <c r="A16" t="s">
        <v>18</v>
      </c>
    </row>
    <row r="17" spans="1:3" x14ac:dyDescent="0.2">
      <c r="A17" t="s">
        <v>19</v>
      </c>
      <c r="B17">
        <v>2</v>
      </c>
      <c r="C17">
        <v>3</v>
      </c>
    </row>
    <row r="18" spans="1:3" x14ac:dyDescent="0.2">
      <c r="A18" t="s">
        <v>20</v>
      </c>
      <c r="B18">
        <v>17.36</v>
      </c>
      <c r="C18">
        <v>26.04</v>
      </c>
    </row>
    <row r="19" spans="1:3" x14ac:dyDescent="0.2">
      <c r="A19" t="s">
        <v>21</v>
      </c>
      <c r="B19">
        <v>22.32</v>
      </c>
      <c r="C19">
        <v>33.479999999999997</v>
      </c>
    </row>
    <row r="20" spans="1:3" x14ac:dyDescent="0.2">
      <c r="A20" t="s">
        <v>22</v>
      </c>
    </row>
    <row r="21" spans="1:3" x14ac:dyDescent="0.2">
      <c r="A21" t="s">
        <v>23</v>
      </c>
    </row>
    <row r="22" spans="1:3" x14ac:dyDescent="0.2">
      <c r="A22" t="s">
        <v>24</v>
      </c>
    </row>
    <row r="23" spans="1:3" x14ac:dyDescent="0.2">
      <c r="A23" t="s">
        <v>25</v>
      </c>
      <c r="B23">
        <v>2.4800000000000004</v>
      </c>
      <c r="C23">
        <v>3.7199999999999998</v>
      </c>
    </row>
    <row r="24" spans="1:3" x14ac:dyDescent="0.2">
      <c r="A24" t="s">
        <v>26</v>
      </c>
      <c r="B24">
        <v>11.68</v>
      </c>
      <c r="C24">
        <v>17.52</v>
      </c>
    </row>
    <row r="25" spans="1:3" x14ac:dyDescent="0.2">
      <c r="A25" t="s">
        <v>27</v>
      </c>
      <c r="B25" s="2">
        <v>5</v>
      </c>
      <c r="C25" s="2">
        <v>5</v>
      </c>
    </row>
    <row r="26" spans="1:3" x14ac:dyDescent="0.2">
      <c r="A26" t="s">
        <v>28</v>
      </c>
      <c r="B26" s="2">
        <v>7</v>
      </c>
      <c r="C26" s="2">
        <v>7</v>
      </c>
    </row>
    <row r="27" spans="1:3" x14ac:dyDescent="0.2">
      <c r="A27" t="s">
        <v>29</v>
      </c>
      <c r="B27" s="2">
        <v>0</v>
      </c>
      <c r="C27" s="2">
        <v>0</v>
      </c>
    </row>
    <row r="28" spans="1:3" x14ac:dyDescent="0.2">
      <c r="A28" t="s">
        <v>30</v>
      </c>
      <c r="B28">
        <v>128.80000000000001</v>
      </c>
      <c r="C28">
        <v>193.2</v>
      </c>
    </row>
    <row r="29" spans="1:3" x14ac:dyDescent="0.2">
      <c r="A29" t="s">
        <v>31</v>
      </c>
      <c r="B29">
        <v>155.20000000000002</v>
      </c>
      <c r="C29">
        <v>232.79999999999998</v>
      </c>
    </row>
    <row r="30" spans="1:3" x14ac:dyDescent="0.2">
      <c r="A30" t="s">
        <v>32</v>
      </c>
      <c r="B30">
        <v>5182.880000000001</v>
      </c>
      <c r="C30">
        <v>7774.32</v>
      </c>
    </row>
    <row r="31" spans="1:3" x14ac:dyDescent="0.2">
      <c r="A31" t="s">
        <v>33</v>
      </c>
      <c r="B31">
        <v>9001.9040000000005</v>
      </c>
      <c r="C31">
        <v>13502.855999999998</v>
      </c>
    </row>
    <row r="32" spans="1:3" x14ac:dyDescent="0.2">
      <c r="A32" t="s">
        <v>34</v>
      </c>
      <c r="B32">
        <v>3.5760000000000001</v>
      </c>
      <c r="C32">
        <v>5.3639999999999999</v>
      </c>
    </row>
    <row r="33" spans="1:3" x14ac:dyDescent="0.2">
      <c r="A33" t="s">
        <v>35</v>
      </c>
      <c r="B33">
        <v>2</v>
      </c>
      <c r="C33">
        <v>2</v>
      </c>
    </row>
    <row r="34" spans="1:3" x14ac:dyDescent="0.2">
      <c r="A34" t="s">
        <v>36</v>
      </c>
    </row>
    <row r="35" spans="1:3" x14ac:dyDescent="0.2">
      <c r="A35" t="s">
        <v>37</v>
      </c>
    </row>
    <row r="36" spans="1:3" x14ac:dyDescent="0.2">
      <c r="A36" s="8" t="s">
        <v>38</v>
      </c>
    </row>
    <row r="37" spans="1:3" x14ac:dyDescent="0.2">
      <c r="A37" t="s">
        <v>39</v>
      </c>
      <c r="B37">
        <v>0.57040000000000002</v>
      </c>
      <c r="C37">
        <v>0.85559999999999992</v>
      </c>
    </row>
    <row r="38" spans="1:3" x14ac:dyDescent="0.2">
      <c r="A38" t="s">
        <v>40</v>
      </c>
      <c r="B38">
        <v>0.28399999999999997</v>
      </c>
      <c r="C38">
        <v>0.42599999999999999</v>
      </c>
    </row>
    <row r="39" spans="1:3" x14ac:dyDescent="0.2">
      <c r="A39" s="3" t="s">
        <v>41</v>
      </c>
      <c r="B39">
        <v>0.72000000000000008</v>
      </c>
      <c r="C39">
        <v>1.08</v>
      </c>
    </row>
    <row r="40" spans="1:3" ht="17" x14ac:dyDescent="0.25">
      <c r="A40" s="9" t="s">
        <v>42</v>
      </c>
      <c r="B40">
        <v>4499.2</v>
      </c>
      <c r="C40">
        <v>6748.8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BD3A-13E8-CE4E-A599-EB9E02194D16}">
  <dimension ref="A1:S56"/>
  <sheetViews>
    <sheetView tabSelected="1" zoomScale="125" zoomScaleNormal="150" workbookViewId="0">
      <pane ySplit="1" topLeftCell="A2" activePane="bottomLeft" state="frozen"/>
      <selection pane="bottomLeft" activeCell="D9" sqref="D9"/>
    </sheetView>
  </sheetViews>
  <sheetFormatPr baseColWidth="10" defaultColWidth="11" defaultRowHeight="16" x14ac:dyDescent="0.2"/>
  <cols>
    <col min="1" max="1" width="8.1640625" customWidth="1"/>
    <col min="2" max="2" width="21.1640625" customWidth="1"/>
    <col min="3" max="3" width="13.83203125" customWidth="1"/>
    <col min="4" max="10" width="10.83203125" customWidth="1"/>
    <col min="11" max="11" width="35.1640625" customWidth="1"/>
    <col min="12" max="12" width="18.83203125" customWidth="1"/>
    <col min="13" max="13" width="14.33203125" customWidth="1"/>
    <col min="14" max="14" width="48.6640625" customWidth="1"/>
    <col min="16" max="16" width="20.5" customWidth="1"/>
    <col min="1997" max="1998" width="2.5" customWidth="1"/>
    <col min="2003" max="2003" width="2.5" customWidth="1"/>
  </cols>
  <sheetData>
    <row r="1" spans="1:19" s="4" customFormat="1" x14ac:dyDescent="0.2">
      <c r="A1" s="4" t="s">
        <v>43</v>
      </c>
      <c r="B1" s="4" t="s">
        <v>0</v>
      </c>
      <c r="C1" s="4" t="s">
        <v>44</v>
      </c>
      <c r="D1" s="4" t="s">
        <v>45</v>
      </c>
      <c r="E1" s="4" t="s">
        <v>46</v>
      </c>
      <c r="F1" s="4" t="s">
        <v>47</v>
      </c>
      <c r="G1" s="4" t="s">
        <v>48</v>
      </c>
      <c r="H1" s="4" t="s">
        <v>49</v>
      </c>
      <c r="I1" s="4" t="s">
        <v>50</v>
      </c>
      <c r="J1" s="4" t="s">
        <v>51</v>
      </c>
      <c r="K1" s="4" t="s">
        <v>52</v>
      </c>
      <c r="L1" s="4" t="s">
        <v>53</v>
      </c>
      <c r="M1" s="4" t="s">
        <v>54</v>
      </c>
      <c r="N1" s="4" t="s">
        <v>55</v>
      </c>
      <c r="O1" s="4" t="s">
        <v>56</v>
      </c>
      <c r="P1" s="4" t="s">
        <v>57</v>
      </c>
      <c r="Q1" s="4" t="s">
        <v>58</v>
      </c>
      <c r="R1" s="4" t="s">
        <v>59</v>
      </c>
      <c r="S1" s="4" t="s">
        <v>60</v>
      </c>
    </row>
    <row r="2" spans="1:19" s="5" customFormat="1" x14ac:dyDescent="0.2">
      <c r="K2" s="15" t="s">
        <v>61</v>
      </c>
      <c r="L2" s="15"/>
    </row>
    <row r="3" spans="1:19" x14ac:dyDescent="0.2">
      <c r="A3">
        <v>1</v>
      </c>
      <c r="B3" t="s">
        <v>4</v>
      </c>
      <c r="C3">
        <f>D3</f>
        <v>-0.5</v>
      </c>
      <c r="D3">
        <v>-0.5</v>
      </c>
      <c r="E3">
        <f>(G3-C3)/1.96</f>
        <v>0.32142857142857145</v>
      </c>
      <c r="F3">
        <v>-1.1299999999999999</v>
      </c>
      <c r="G3">
        <v>0.13</v>
      </c>
      <c r="H3" t="s">
        <v>62</v>
      </c>
      <c r="I3">
        <f>C3</f>
        <v>-0.5</v>
      </c>
      <c r="J3">
        <f>E3</f>
        <v>0.32142857142857145</v>
      </c>
      <c r="K3" t="s">
        <v>63</v>
      </c>
      <c r="L3" t="s">
        <v>64</v>
      </c>
      <c r="N3" t="s">
        <v>65</v>
      </c>
    </row>
    <row r="4" spans="1:19" x14ac:dyDescent="0.2">
      <c r="A4">
        <v>1</v>
      </c>
      <c r="B4" t="s">
        <v>5</v>
      </c>
      <c r="C4">
        <f t="shared" ref="C4:C6" si="0">D4</f>
        <v>-0.67</v>
      </c>
      <c r="D4">
        <v>-0.67</v>
      </c>
      <c r="E4">
        <f t="shared" ref="E4:E5" si="1">(G4-C4)/1.96</f>
        <v>0.31632653061224492</v>
      </c>
      <c r="F4">
        <v>-1.29</v>
      </c>
      <c r="G4">
        <v>-0.05</v>
      </c>
      <c r="H4" t="s">
        <v>62</v>
      </c>
      <c r="I4">
        <f t="shared" ref="I4:I6" si="2">C4</f>
        <v>-0.67</v>
      </c>
      <c r="J4">
        <f t="shared" ref="J4:J6" si="3">E4</f>
        <v>0.31632653061224492</v>
      </c>
      <c r="K4" t="s">
        <v>66</v>
      </c>
      <c r="L4" t="s">
        <v>67</v>
      </c>
      <c r="N4" t="s">
        <v>68</v>
      </c>
    </row>
    <row r="5" spans="1:19" x14ac:dyDescent="0.2">
      <c r="A5">
        <v>1</v>
      </c>
      <c r="B5" t="s">
        <v>6</v>
      </c>
      <c r="C5">
        <f t="shared" si="0"/>
        <v>-0.63</v>
      </c>
      <c r="D5">
        <v>-0.63</v>
      </c>
      <c r="E5">
        <f t="shared" si="1"/>
        <v>0.5</v>
      </c>
      <c r="F5">
        <v>-1.61</v>
      </c>
      <c r="G5">
        <v>0.35</v>
      </c>
      <c r="H5" t="s">
        <v>62</v>
      </c>
      <c r="I5">
        <f t="shared" si="2"/>
        <v>-0.63</v>
      </c>
      <c r="J5">
        <f t="shared" si="3"/>
        <v>0.5</v>
      </c>
      <c r="K5" t="s">
        <v>69</v>
      </c>
      <c r="L5" t="s">
        <v>70</v>
      </c>
      <c r="N5" t="s">
        <v>71</v>
      </c>
    </row>
    <row r="6" spans="1:19" x14ac:dyDescent="0.2">
      <c r="A6">
        <v>1</v>
      </c>
      <c r="B6" t="s">
        <v>7</v>
      </c>
      <c r="C6">
        <f t="shared" si="0"/>
        <v>0.98</v>
      </c>
      <c r="D6">
        <v>0.98</v>
      </c>
      <c r="E6">
        <f>(G6-C6)/1.96</f>
        <v>0.26020408163265307</v>
      </c>
      <c r="F6">
        <v>0.46</v>
      </c>
      <c r="G6">
        <v>1.49</v>
      </c>
      <c r="H6" t="s">
        <v>62</v>
      </c>
      <c r="I6">
        <f t="shared" si="2"/>
        <v>0.98</v>
      </c>
      <c r="J6">
        <f t="shared" si="3"/>
        <v>0.26020408163265307</v>
      </c>
      <c r="K6" t="s">
        <v>72</v>
      </c>
      <c r="L6" t="s">
        <v>73</v>
      </c>
      <c r="N6" t="s">
        <v>74</v>
      </c>
    </row>
    <row r="7" spans="1:19" s="5" customFormat="1" x14ac:dyDescent="0.2">
      <c r="F7" s="5">
        <v>0.8</v>
      </c>
      <c r="G7" s="5">
        <v>1.2</v>
      </c>
      <c r="K7" s="15" t="s">
        <v>75</v>
      </c>
      <c r="L7" s="15"/>
    </row>
    <row r="8" spans="1:19" x14ac:dyDescent="0.2">
      <c r="B8" t="s">
        <v>8</v>
      </c>
      <c r="C8">
        <f>D8</f>
        <v>19255229</v>
      </c>
      <c r="D8">
        <f>ROUND(D9/D10,0)</f>
        <v>19255229</v>
      </c>
      <c r="F8">
        <f>ROUND(F9/F10,0)</f>
        <v>22831200</v>
      </c>
      <c r="G8">
        <f>ROUND(G9/G10,0)</f>
        <v>16476124</v>
      </c>
    </row>
    <row r="9" spans="1:19" x14ac:dyDescent="0.2">
      <c r="A9">
        <v>1</v>
      </c>
      <c r="B9" s="7" t="s">
        <v>76</v>
      </c>
      <c r="C9">
        <f>D9</f>
        <v>159818400</v>
      </c>
      <c r="D9">
        <f>30.2*10^6*12*44.1%</f>
        <v>159818400</v>
      </c>
      <c r="F9">
        <f>D9</f>
        <v>159818400</v>
      </c>
      <c r="G9">
        <f>D9</f>
        <v>159818400</v>
      </c>
      <c r="K9" t="s">
        <v>77</v>
      </c>
      <c r="L9" t="s">
        <v>78</v>
      </c>
      <c r="M9" s="6" t="s">
        <v>79</v>
      </c>
      <c r="N9" t="s">
        <v>80</v>
      </c>
    </row>
    <row r="10" spans="1:19" x14ac:dyDescent="0.2">
      <c r="A10">
        <v>1</v>
      </c>
      <c r="B10" s="7" t="s">
        <v>81</v>
      </c>
      <c r="C10">
        <f>D10</f>
        <v>8.3000000000000007</v>
      </c>
      <c r="D10">
        <v>8.3000000000000007</v>
      </c>
      <c r="E10">
        <f>(G10-C10)/1.96</f>
        <v>0.71428571428571352</v>
      </c>
      <c r="F10">
        <v>7</v>
      </c>
      <c r="G10">
        <v>9.6999999999999993</v>
      </c>
      <c r="H10" t="s">
        <v>62</v>
      </c>
      <c r="I10">
        <f>C10</f>
        <v>8.3000000000000007</v>
      </c>
      <c r="J10">
        <f>E10</f>
        <v>0.71428571428571352</v>
      </c>
      <c r="K10" t="s">
        <v>82</v>
      </c>
      <c r="L10" t="s">
        <v>83</v>
      </c>
      <c r="M10" s="6" t="s">
        <v>84</v>
      </c>
      <c r="N10" t="s">
        <v>85</v>
      </c>
    </row>
    <row r="11" spans="1:19" x14ac:dyDescent="0.2">
      <c r="A11">
        <v>2</v>
      </c>
      <c r="B11" s="7" t="s">
        <v>86</v>
      </c>
      <c r="C11" t="str">
        <f>D11</f>
        <v>n_compo1/n_compo2</v>
      </c>
      <c r="D11" t="s">
        <v>87</v>
      </c>
      <c r="M11" s="6"/>
    </row>
    <row r="12" spans="1:19" x14ac:dyDescent="0.2">
      <c r="A12">
        <v>1</v>
      </c>
      <c r="B12" t="s">
        <v>9</v>
      </c>
      <c r="C12">
        <f>D12</f>
        <v>0.435</v>
      </c>
      <c r="D12">
        <v>0.435</v>
      </c>
      <c r="E12">
        <f>(G12-C12)/1.96</f>
        <v>2.6020408163265302E-2</v>
      </c>
      <c r="F12">
        <v>0.38400000000000001</v>
      </c>
      <c r="G12">
        <v>0.48599999999999999</v>
      </c>
      <c r="H12" t="s">
        <v>88</v>
      </c>
      <c r="I12">
        <f>C12*(((C12*(1-C12))/E12^2)-1)</f>
        <v>157.47104359861595</v>
      </c>
      <c r="J12">
        <f>(1-C12)*(((C12*(1-C12))/E12^2)-1)</f>
        <v>204.53135547866208</v>
      </c>
      <c r="K12" t="s">
        <v>89</v>
      </c>
      <c r="L12" t="s">
        <v>90</v>
      </c>
      <c r="M12" s="6" t="s">
        <v>91</v>
      </c>
      <c r="N12" t="s">
        <v>92</v>
      </c>
    </row>
    <row r="13" spans="1:19" x14ac:dyDescent="0.2">
      <c r="D13">
        <v>0.34</v>
      </c>
      <c r="K13" t="s">
        <v>93</v>
      </c>
      <c r="M13" s="6" t="s">
        <v>94</v>
      </c>
      <c r="N13" t="s">
        <v>95</v>
      </c>
    </row>
    <row r="14" spans="1:19" x14ac:dyDescent="0.2">
      <c r="A14">
        <v>1</v>
      </c>
      <c r="B14" t="s">
        <v>10</v>
      </c>
      <c r="C14">
        <f>D15</f>
        <v>7.1999999999999995E-2</v>
      </c>
      <c r="D14">
        <v>0.30580000000000002</v>
      </c>
      <c r="E14">
        <f>(0.072-0.071)/(2*1.96)</f>
        <v>2.5510204081632677E-4</v>
      </c>
      <c r="F14">
        <f>C14-1.96*E14</f>
        <v>7.1499999999999994E-2</v>
      </c>
      <c r="G14">
        <f>C14+1.96*E14</f>
        <v>7.2499999999999995E-2</v>
      </c>
      <c r="H14" t="s">
        <v>88</v>
      </c>
      <c r="I14">
        <f>C14*(((C14*(1-C14))/E14^2)-1)</f>
        <v>73923.867532799864</v>
      </c>
      <c r="J14">
        <f>(1-C14)*(((C14*(1-C14))/E14^2)-1)</f>
        <v>952796.5148671983</v>
      </c>
      <c r="K14" t="s">
        <v>96</v>
      </c>
      <c r="L14" t="s">
        <v>97</v>
      </c>
      <c r="M14" t="s">
        <v>98</v>
      </c>
      <c r="N14" t="s">
        <v>99</v>
      </c>
    </row>
    <row r="15" spans="1:19" x14ac:dyDescent="0.2">
      <c r="D15">
        <v>7.1999999999999995E-2</v>
      </c>
      <c r="K15" t="s">
        <v>100</v>
      </c>
      <c r="M15" s="6" t="s">
        <v>101</v>
      </c>
      <c r="N15" t="s">
        <v>102</v>
      </c>
    </row>
    <row r="16" spans="1:19" x14ac:dyDescent="0.2">
      <c r="A16">
        <v>1</v>
      </c>
      <c r="B16" t="s">
        <v>11</v>
      </c>
      <c r="C16">
        <f>D17</f>
        <v>8.3799999999999999E-2</v>
      </c>
      <c r="D16">
        <v>0.2268</v>
      </c>
      <c r="E16">
        <f>(0.098-0.0704)/1.349</f>
        <v>2.0459599703484061E-2</v>
      </c>
      <c r="F16">
        <f>C16-1.96*E16</f>
        <v>4.3699184581171238E-2</v>
      </c>
      <c r="G16">
        <f>C16+1.96*E16</f>
        <v>0.12390081541882876</v>
      </c>
      <c r="H16" t="s">
        <v>88</v>
      </c>
      <c r="I16">
        <f>C16*(((C16*(1-C16))/E16^2)-1)</f>
        <v>15.286560721242818</v>
      </c>
      <c r="J16">
        <f>(1-C16)*(((C16*(1-C16))/E16^2)-1)</f>
        <v>167.13063165635646</v>
      </c>
      <c r="K16" t="s">
        <v>103</v>
      </c>
      <c r="L16" t="s">
        <v>104</v>
      </c>
      <c r="M16" t="s">
        <v>98</v>
      </c>
      <c r="N16" t="s">
        <v>105</v>
      </c>
    </row>
    <row r="17" spans="1:14" x14ac:dyDescent="0.2">
      <c r="D17">
        <v>8.3799999999999999E-2</v>
      </c>
      <c r="K17" t="s">
        <v>106</v>
      </c>
      <c r="M17" s="6" t="s">
        <v>107</v>
      </c>
      <c r="N17" t="s">
        <v>108</v>
      </c>
    </row>
    <row r="18" spans="1:14" x14ac:dyDescent="0.2">
      <c r="A18">
        <v>1</v>
      </c>
      <c r="B18" t="s">
        <v>12</v>
      </c>
      <c r="C18">
        <f>D19</f>
        <v>28249</v>
      </c>
      <c r="D18">
        <v>38018</v>
      </c>
      <c r="F18">
        <f>C18</f>
        <v>28249</v>
      </c>
      <c r="G18">
        <f>C18</f>
        <v>28249</v>
      </c>
      <c r="K18" t="s">
        <v>109</v>
      </c>
      <c r="L18" t="s">
        <v>110</v>
      </c>
      <c r="M18" s="6" t="s">
        <v>111</v>
      </c>
      <c r="N18" t="s">
        <v>112</v>
      </c>
    </row>
    <row r="19" spans="1:14" x14ac:dyDescent="0.2">
      <c r="D19">
        <v>28249</v>
      </c>
      <c r="K19" t="s">
        <v>113</v>
      </c>
      <c r="M19" s="6" t="s">
        <v>111</v>
      </c>
      <c r="N19" t="s">
        <v>114</v>
      </c>
    </row>
    <row r="20" spans="1:14" x14ac:dyDescent="0.2">
      <c r="B20" s="7" t="s">
        <v>115</v>
      </c>
      <c r="M20" s="6"/>
    </row>
    <row r="21" spans="1:14" x14ac:dyDescent="0.2">
      <c r="B21" s="7" t="s">
        <v>116</v>
      </c>
      <c r="M21" s="6"/>
    </row>
    <row r="22" spans="1:14" x14ac:dyDescent="0.2">
      <c r="B22" s="7" t="s">
        <v>117</v>
      </c>
      <c r="M22" s="6"/>
    </row>
    <row r="23" spans="1:14" x14ac:dyDescent="0.2">
      <c r="A23">
        <v>1</v>
      </c>
      <c r="B23" t="s">
        <v>13</v>
      </c>
      <c r="C23">
        <f>D23</f>
        <v>1</v>
      </c>
      <c r="D23">
        <v>1</v>
      </c>
      <c r="F23">
        <f>C23</f>
        <v>1</v>
      </c>
      <c r="G23">
        <f>C23</f>
        <v>1</v>
      </c>
      <c r="K23" t="s">
        <v>118</v>
      </c>
      <c r="L23" t="s">
        <v>119</v>
      </c>
      <c r="M23" s="6" t="s">
        <v>120</v>
      </c>
      <c r="N23" t="s">
        <v>121</v>
      </c>
    </row>
    <row r="24" spans="1:14" x14ac:dyDescent="0.2">
      <c r="A24">
        <v>1</v>
      </c>
      <c r="B24" t="s">
        <v>14</v>
      </c>
      <c r="C24">
        <f t="shared" ref="C24:C25" si="4">D24</f>
        <v>12</v>
      </c>
      <c r="D24">
        <v>12</v>
      </c>
      <c r="F24">
        <f t="shared" ref="F24" si="5">D24</f>
        <v>12</v>
      </c>
      <c r="G24">
        <f t="shared" ref="G24" si="6">D24</f>
        <v>12</v>
      </c>
      <c r="K24" t="s">
        <v>122</v>
      </c>
      <c r="L24" t="s">
        <v>123</v>
      </c>
      <c r="N24" t="s">
        <v>124</v>
      </c>
    </row>
    <row r="25" spans="1:14" x14ac:dyDescent="0.2">
      <c r="A25">
        <v>1</v>
      </c>
      <c r="B25" t="s">
        <v>15</v>
      </c>
      <c r="C25">
        <f t="shared" si="4"/>
        <v>12</v>
      </c>
      <c r="D25">
        <v>12</v>
      </c>
      <c r="F25">
        <f t="shared" ref="F25" si="7">D25</f>
        <v>12</v>
      </c>
      <c r="G25">
        <f t="shared" ref="G25" si="8">D25</f>
        <v>12</v>
      </c>
      <c r="K25" t="s">
        <v>125</v>
      </c>
      <c r="L25" t="s">
        <v>126</v>
      </c>
    </row>
    <row r="26" spans="1:14" x14ac:dyDescent="0.2">
      <c r="B26" t="s">
        <v>16</v>
      </c>
      <c r="C26" s="13">
        <f t="shared" ref="C26:C38" si="9">D26</f>
        <v>2.1</v>
      </c>
      <c r="D26" s="13">
        <f>ROUND(D29+D3*E29,2)</f>
        <v>2.1</v>
      </c>
      <c r="E26" s="14">
        <f>E29</f>
        <v>0.80900000000000005</v>
      </c>
      <c r="F26" s="13"/>
      <c r="G26" s="13"/>
      <c r="K26" t="s">
        <v>127</v>
      </c>
      <c r="M26" t="s">
        <v>128</v>
      </c>
      <c r="N26" t="s">
        <v>129</v>
      </c>
    </row>
    <row r="27" spans="1:14" x14ac:dyDescent="0.2">
      <c r="B27" t="s">
        <v>17</v>
      </c>
      <c r="C27" s="13">
        <f t="shared" si="9"/>
        <v>12.77</v>
      </c>
      <c r="D27" s="13">
        <f>ROUND(D30+D4*E30,2)</f>
        <v>12.77</v>
      </c>
      <c r="E27" s="14">
        <f>E30</f>
        <v>13.331</v>
      </c>
      <c r="F27" s="13"/>
      <c r="G27" s="13"/>
      <c r="K27" t="s">
        <v>130</v>
      </c>
      <c r="M27" t="s">
        <v>128</v>
      </c>
      <c r="N27" t="s">
        <v>129</v>
      </c>
    </row>
    <row r="28" spans="1:14" x14ac:dyDescent="0.2">
      <c r="B28" t="s">
        <v>18</v>
      </c>
      <c r="C28" s="13">
        <f t="shared" si="9"/>
        <v>18.72</v>
      </c>
      <c r="D28" s="13">
        <f>ROUND(D31+D5*E31,2)</f>
        <v>18.72</v>
      </c>
      <c r="E28" s="14">
        <f>E31</f>
        <v>14.566000000000001</v>
      </c>
      <c r="F28" s="13"/>
      <c r="G28" s="13"/>
      <c r="K28" t="s">
        <v>131</v>
      </c>
      <c r="M28" t="s">
        <v>128</v>
      </c>
      <c r="N28" t="s">
        <v>129</v>
      </c>
    </row>
    <row r="29" spans="1:14" x14ac:dyDescent="0.2">
      <c r="A29">
        <v>1</v>
      </c>
      <c r="B29" t="s">
        <v>19</v>
      </c>
      <c r="C29" s="2">
        <f t="shared" si="9"/>
        <v>2.5</v>
      </c>
      <c r="D29">
        <f>ROUND(0.202*1+0.097*2+0.701*3,2)</f>
        <v>2.5</v>
      </c>
      <c r="E29">
        <f>ROUND(SQRT(0.202*(1 - 2.499)^2 + 0.097*(2 - 2.499)^2 + 0.701*(3 - 2.499)^2),3)</f>
        <v>0.80900000000000005</v>
      </c>
      <c r="F29">
        <f>C29*$F$7</f>
        <v>2</v>
      </c>
      <c r="G29">
        <f>C29*$G$7</f>
        <v>3</v>
      </c>
      <c r="H29" t="s">
        <v>62</v>
      </c>
      <c r="I29" s="2">
        <f>C29</f>
        <v>2.5</v>
      </c>
      <c r="J29">
        <f>E29</f>
        <v>0.80900000000000005</v>
      </c>
      <c r="K29" t="s">
        <v>132</v>
      </c>
      <c r="L29" t="s">
        <v>133</v>
      </c>
      <c r="M29" s="6" t="s">
        <v>120</v>
      </c>
      <c r="N29" t="s">
        <v>134</v>
      </c>
    </row>
    <row r="30" spans="1:14" x14ac:dyDescent="0.2">
      <c r="A30">
        <v>1</v>
      </c>
      <c r="B30" t="s">
        <v>20</v>
      </c>
      <c r="C30" s="2">
        <f t="shared" si="9"/>
        <v>21.7</v>
      </c>
      <c r="D30">
        <v>21.7</v>
      </c>
      <c r="E30">
        <f>ROUND(0.57*SQRT(547),3)</f>
        <v>13.331</v>
      </c>
      <c r="F30">
        <f>C30*$F$7</f>
        <v>17.36</v>
      </c>
      <c r="G30">
        <f>C30*$G$7</f>
        <v>26.04</v>
      </c>
      <c r="H30" t="s">
        <v>62</v>
      </c>
      <c r="I30" s="2">
        <f t="shared" ref="I30:I31" si="10">C30</f>
        <v>21.7</v>
      </c>
      <c r="J30">
        <f t="shared" ref="J30:J31" si="11">E30</f>
        <v>13.331</v>
      </c>
      <c r="K30" t="s">
        <v>135</v>
      </c>
      <c r="L30" t="s">
        <v>136</v>
      </c>
      <c r="M30" s="6" t="s">
        <v>137</v>
      </c>
      <c r="N30" t="s">
        <v>138</v>
      </c>
    </row>
    <row r="31" spans="1:14" x14ac:dyDescent="0.2">
      <c r="A31">
        <v>1</v>
      </c>
      <c r="B31" t="s">
        <v>21</v>
      </c>
      <c r="C31" s="2">
        <f t="shared" si="9"/>
        <v>27.9</v>
      </c>
      <c r="D31">
        <v>27.9</v>
      </c>
      <c r="E31">
        <f>ROUND(0.83*SQRT(308),3)</f>
        <v>14.566000000000001</v>
      </c>
      <c r="F31">
        <f>C31*$F$7</f>
        <v>22.32</v>
      </c>
      <c r="G31">
        <f>C31*$G$7</f>
        <v>33.479999999999997</v>
      </c>
      <c r="H31" t="s">
        <v>62</v>
      </c>
      <c r="I31" s="2">
        <f t="shared" si="10"/>
        <v>27.9</v>
      </c>
      <c r="J31">
        <f t="shared" si="11"/>
        <v>14.566000000000001</v>
      </c>
      <c r="K31" t="s">
        <v>139</v>
      </c>
      <c r="L31" t="s">
        <v>140</v>
      </c>
      <c r="M31" s="6" t="s">
        <v>137</v>
      </c>
      <c r="N31" t="s">
        <v>141</v>
      </c>
    </row>
    <row r="32" spans="1:14" x14ac:dyDescent="0.2">
      <c r="A32">
        <v>1</v>
      </c>
      <c r="B32" t="s">
        <v>22</v>
      </c>
      <c r="C32" s="2">
        <f>E32</f>
        <v>0.80900000000000005</v>
      </c>
      <c r="E32" s="2">
        <v>0.80900000000000005</v>
      </c>
      <c r="F32">
        <f>C32*$F$7</f>
        <v>0.64720000000000011</v>
      </c>
      <c r="G32">
        <f>C32*$G$7</f>
        <v>0.9708</v>
      </c>
      <c r="L32" t="s">
        <v>142</v>
      </c>
      <c r="M32" s="6"/>
    </row>
    <row r="33" spans="1:19" x14ac:dyDescent="0.2">
      <c r="A33">
        <v>1</v>
      </c>
      <c r="B33" t="s">
        <v>23</v>
      </c>
      <c r="C33" s="2">
        <f>E33</f>
        <v>13.331</v>
      </c>
      <c r="E33" s="2">
        <v>13.331</v>
      </c>
      <c r="F33">
        <f t="shared" ref="F33:F34" si="12">C33*$F$7</f>
        <v>10.6648</v>
      </c>
      <c r="G33">
        <f t="shared" ref="G33:G34" si="13">C33*$G$7</f>
        <v>15.997199999999999</v>
      </c>
      <c r="L33" t="s">
        <v>143</v>
      </c>
      <c r="M33" s="6"/>
    </row>
    <row r="34" spans="1:19" x14ac:dyDescent="0.2">
      <c r="A34">
        <v>1</v>
      </c>
      <c r="B34" t="s">
        <v>24</v>
      </c>
      <c r="C34" s="2">
        <f>E34</f>
        <v>14.566000000000001</v>
      </c>
      <c r="E34" s="2">
        <v>14.566000000000001</v>
      </c>
      <c r="F34">
        <f t="shared" si="12"/>
        <v>11.652800000000001</v>
      </c>
      <c r="G34">
        <f t="shared" si="13"/>
        <v>17.479199999999999</v>
      </c>
      <c r="L34" t="s">
        <v>144</v>
      </c>
      <c r="M34" s="6"/>
    </row>
    <row r="35" spans="1:19" ht="119" x14ac:dyDescent="0.2">
      <c r="A35">
        <v>1</v>
      </c>
      <c r="B35" t="s">
        <v>25</v>
      </c>
      <c r="C35" s="2">
        <f t="shared" si="9"/>
        <v>3.1</v>
      </c>
      <c r="D35">
        <v>3.1</v>
      </c>
      <c r="E35">
        <f>(G35-C35)/1.96</f>
        <v>0.31632653061224475</v>
      </c>
      <c r="F35">
        <f>C35*$F$7</f>
        <v>2.4800000000000004</v>
      </c>
      <c r="G35">
        <f>C35*$G$7</f>
        <v>3.7199999999999998</v>
      </c>
      <c r="H35" t="s">
        <v>145</v>
      </c>
      <c r="I35">
        <f>C35^2/E35^2</f>
        <v>96.040000000000106</v>
      </c>
      <c r="J35">
        <f>E35^2/C35</f>
        <v>3.2278217409412717E-2</v>
      </c>
      <c r="K35" t="s">
        <v>146</v>
      </c>
      <c r="L35" t="s">
        <v>147</v>
      </c>
      <c r="N35" s="1" t="s">
        <v>148</v>
      </c>
    </row>
    <row r="36" spans="1:19" ht="119" x14ac:dyDescent="0.2">
      <c r="A36">
        <v>1</v>
      </c>
      <c r="B36" t="s">
        <v>26</v>
      </c>
      <c r="C36" s="2">
        <f t="shared" si="9"/>
        <v>14.6</v>
      </c>
      <c r="D36">
        <v>14.6</v>
      </c>
      <c r="E36">
        <f>(G36-C36)/1.96</f>
        <v>1.489795918367347</v>
      </c>
      <c r="F36">
        <f>C36*$F$7</f>
        <v>11.68</v>
      </c>
      <c r="G36">
        <f>C36*$G$7</f>
        <v>17.52</v>
      </c>
      <c r="H36" t="s">
        <v>145</v>
      </c>
      <c r="I36">
        <f>C36^2/E36^2</f>
        <v>96.039999999999992</v>
      </c>
      <c r="J36">
        <f>E36^2/C36</f>
        <v>0.15201999167013747</v>
      </c>
      <c r="K36" t="s">
        <v>149</v>
      </c>
      <c r="L36" t="s">
        <v>150</v>
      </c>
      <c r="N36" s="1" t="s">
        <v>151</v>
      </c>
    </row>
    <row r="37" spans="1:19" x14ac:dyDescent="0.2">
      <c r="A37">
        <v>1</v>
      </c>
      <c r="B37" t="s">
        <v>27</v>
      </c>
      <c r="C37" s="2">
        <f t="shared" si="9"/>
        <v>5</v>
      </c>
      <c r="D37" s="2">
        <v>5</v>
      </c>
      <c r="F37" s="2">
        <f>D37</f>
        <v>5</v>
      </c>
      <c r="G37" s="2">
        <f>D37</f>
        <v>5</v>
      </c>
      <c r="K37" t="s">
        <v>152</v>
      </c>
      <c r="L37" t="s">
        <v>153</v>
      </c>
      <c r="N37" s="1"/>
    </row>
    <row r="38" spans="1:19" x14ac:dyDescent="0.2">
      <c r="A38">
        <v>1</v>
      </c>
      <c r="B38" t="s">
        <v>28</v>
      </c>
      <c r="C38" s="2">
        <f t="shared" si="9"/>
        <v>7</v>
      </c>
      <c r="D38" s="2">
        <v>7</v>
      </c>
      <c r="F38" s="2">
        <f>D38</f>
        <v>7</v>
      </c>
      <c r="G38" s="2">
        <f>D38</f>
        <v>7</v>
      </c>
      <c r="K38" t="s">
        <v>154</v>
      </c>
      <c r="L38" t="s">
        <v>155</v>
      </c>
      <c r="N38" s="1"/>
    </row>
    <row r="39" spans="1:19" x14ac:dyDescent="0.2">
      <c r="A39">
        <v>1</v>
      </c>
      <c r="B39" t="s">
        <v>29</v>
      </c>
      <c r="C39" s="2">
        <f>D39</f>
        <v>1</v>
      </c>
      <c r="D39" s="2">
        <v>1</v>
      </c>
      <c r="F39" s="2">
        <f>C39</f>
        <v>1</v>
      </c>
      <c r="G39" s="2">
        <f>C39</f>
        <v>1</v>
      </c>
      <c r="L39" t="s">
        <v>156</v>
      </c>
      <c r="N39" s="1"/>
    </row>
    <row r="40" spans="1:19" ht="51" x14ac:dyDescent="0.2">
      <c r="A40">
        <v>1</v>
      </c>
      <c r="B40" t="s">
        <v>30</v>
      </c>
      <c r="C40">
        <f>D40</f>
        <v>161</v>
      </c>
      <c r="D40">
        <v>161</v>
      </c>
      <c r="E40">
        <f>(G40-C40)/1.96</f>
        <v>16.428571428571423</v>
      </c>
      <c r="F40">
        <f>C40*$F$7</f>
        <v>128.80000000000001</v>
      </c>
      <c r="G40">
        <f>C40*$G$7</f>
        <v>193.2</v>
      </c>
      <c r="H40" t="s">
        <v>145</v>
      </c>
      <c r="I40">
        <f>C40^2/E40^2</f>
        <v>96.040000000000049</v>
      </c>
      <c r="J40">
        <f>E40^2/C40</f>
        <v>1.6763848396501448</v>
      </c>
      <c r="K40" t="s">
        <v>157</v>
      </c>
      <c r="L40" t="s">
        <v>158</v>
      </c>
      <c r="M40" t="s">
        <v>159</v>
      </c>
      <c r="N40" s="1" t="s">
        <v>160</v>
      </c>
    </row>
    <row r="41" spans="1:19" x14ac:dyDescent="0.2">
      <c r="A41">
        <v>1</v>
      </c>
      <c r="B41" t="s">
        <v>31</v>
      </c>
      <c r="C41" s="23">
        <f>R42</f>
        <v>233</v>
      </c>
      <c r="D41">
        <v>240.3</v>
      </c>
      <c r="E41">
        <f>(G41-C41)/1.96</f>
        <v>23.775510204081616</v>
      </c>
      <c r="F41">
        <f>C41*$F$7</f>
        <v>186.4</v>
      </c>
      <c r="G41">
        <f>C41*$G$7</f>
        <v>279.59999999999997</v>
      </c>
      <c r="H41" t="s">
        <v>145</v>
      </c>
      <c r="I41">
        <f>C41^2/E41^2</f>
        <v>96.040000000000134</v>
      </c>
      <c r="J41">
        <f>E41^2/C41</f>
        <v>2.4260724698042448</v>
      </c>
      <c r="K41" t="s">
        <v>161</v>
      </c>
      <c r="L41" t="s">
        <v>162</v>
      </c>
      <c r="M41" s="6" t="s">
        <v>163</v>
      </c>
      <c r="N41" t="s">
        <v>164</v>
      </c>
    </row>
    <row r="42" spans="1:19" x14ac:dyDescent="0.2">
      <c r="D42">
        <f>256-62</f>
        <v>194</v>
      </c>
      <c r="M42" s="6" t="s">
        <v>120</v>
      </c>
      <c r="N42" t="s">
        <v>165</v>
      </c>
      <c r="O42" t="s">
        <v>166</v>
      </c>
      <c r="P42">
        <v>2019</v>
      </c>
      <c r="Q42" t="s">
        <v>167</v>
      </c>
      <c r="R42" cm="1">
        <f t="array" ref="R42">ROUND(D42*PRODUCT(1+NHSII!D8:D12),0)</f>
        <v>233</v>
      </c>
      <c r="S42" t="s">
        <v>159</v>
      </c>
    </row>
    <row r="43" spans="1:19" ht="51" x14ac:dyDescent="0.2">
      <c r="A43">
        <v>1</v>
      </c>
      <c r="B43" t="s">
        <v>32</v>
      </c>
      <c r="C43">
        <f>R43</f>
        <v>7788</v>
      </c>
      <c r="D43">
        <f>ROUND(20406*10^6/(10.3*10^6*0.3058),1)</f>
        <v>6478.6</v>
      </c>
      <c r="E43">
        <f>(G43-C43)/1.96</f>
        <v>794.69387755102059</v>
      </c>
      <c r="F43">
        <f>C43*$F$7</f>
        <v>6230.4000000000005</v>
      </c>
      <c r="G43">
        <f>C43*$G$7</f>
        <v>9345.6</v>
      </c>
      <c r="H43" t="s">
        <v>145</v>
      </c>
      <c r="I43">
        <f>C43^2/E43^2</f>
        <v>96.039999999999949</v>
      </c>
      <c r="J43">
        <f>E43^2/C43</f>
        <v>81.091211995002126</v>
      </c>
      <c r="K43" t="s">
        <v>168</v>
      </c>
      <c r="L43" t="s">
        <v>169</v>
      </c>
      <c r="M43" t="s">
        <v>98</v>
      </c>
      <c r="N43" s="1" t="s">
        <v>170</v>
      </c>
      <c r="O43" t="s">
        <v>166</v>
      </c>
      <c r="P43">
        <v>2019</v>
      </c>
      <c r="Q43" t="s">
        <v>167</v>
      </c>
      <c r="R43" cm="1">
        <f t="array" ref="R43">ROUND(D43*PRODUCT(1+NHSII!D8:D12),0)</f>
        <v>7788</v>
      </c>
      <c r="S43" t="s">
        <v>159</v>
      </c>
    </row>
    <row r="44" spans="1:19" ht="51" x14ac:dyDescent="0.2">
      <c r="A44">
        <v>1</v>
      </c>
      <c r="B44" t="s">
        <v>33</v>
      </c>
      <c r="C44">
        <f>R44</f>
        <v>13527</v>
      </c>
      <c r="D44">
        <f>26286*10^6/(10.3*10^6*0.2268)</f>
        <v>11252.375815482612</v>
      </c>
      <c r="E44">
        <f>(G44-C44)/1.96</f>
        <v>1380.3061224489795</v>
      </c>
      <c r="F44">
        <f>C44*$F$7</f>
        <v>10821.6</v>
      </c>
      <c r="G44">
        <f>C44*$G$7</f>
        <v>16232.4</v>
      </c>
      <c r="H44" t="s">
        <v>145</v>
      </c>
      <c r="I44">
        <f t="shared" ref="I44:I45" si="14">C44^2/E44^2</f>
        <v>96.04</v>
      </c>
      <c r="J44">
        <f t="shared" ref="J44:J45" si="15">E44^2/C44</f>
        <v>140.84756351520198</v>
      </c>
      <c r="K44" t="s">
        <v>171</v>
      </c>
      <c r="L44" t="s">
        <v>172</v>
      </c>
      <c r="M44" t="s">
        <v>98</v>
      </c>
      <c r="N44" s="1" t="s">
        <v>173</v>
      </c>
      <c r="O44" t="s">
        <v>166</v>
      </c>
      <c r="P44">
        <v>2019</v>
      </c>
      <c r="Q44" t="s">
        <v>167</v>
      </c>
      <c r="R44" cm="1">
        <f t="array" ref="R44">ROUND(D44*PRODUCT(1+NHSII!D8:D12),0)</f>
        <v>13527</v>
      </c>
      <c r="S44" t="s">
        <v>159</v>
      </c>
    </row>
    <row r="45" spans="1:19" x14ac:dyDescent="0.2">
      <c r="A45">
        <v>1</v>
      </c>
      <c r="B45" t="s">
        <v>34</v>
      </c>
      <c r="C45">
        <f>D45</f>
        <v>4.47</v>
      </c>
      <c r="D45">
        <v>4.47</v>
      </c>
      <c r="E45">
        <f>(G45-C45)/1.96</f>
        <v>0.45612244897959192</v>
      </c>
      <c r="F45">
        <f>C45*$F$7</f>
        <v>3.5760000000000001</v>
      </c>
      <c r="G45">
        <f>C45*$G$7</f>
        <v>5.3639999999999999</v>
      </c>
      <c r="H45" t="s">
        <v>145</v>
      </c>
      <c r="I45">
        <f t="shared" si="14"/>
        <v>96.039999999999964</v>
      </c>
      <c r="J45">
        <f t="shared" si="15"/>
        <v>4.6543107038733877E-2</v>
      </c>
      <c r="K45" t="s">
        <v>174</v>
      </c>
      <c r="L45" t="s">
        <v>175</v>
      </c>
      <c r="M45" s="6" t="s">
        <v>176</v>
      </c>
      <c r="N45" t="s">
        <v>177</v>
      </c>
    </row>
    <row r="46" spans="1:19" x14ac:dyDescent="0.2">
      <c r="A46">
        <v>1</v>
      </c>
      <c r="B46" t="s">
        <v>35</v>
      </c>
      <c r="C46">
        <f>D46</f>
        <v>2</v>
      </c>
      <c r="D46">
        <v>2</v>
      </c>
      <c r="F46">
        <f>C46</f>
        <v>2</v>
      </c>
      <c r="G46">
        <f>C46</f>
        <v>2</v>
      </c>
      <c r="K46" t="s">
        <v>178</v>
      </c>
      <c r="L46" t="s">
        <v>179</v>
      </c>
      <c r="M46" t="s">
        <v>180</v>
      </c>
    </row>
    <row r="47" spans="1:19" x14ac:dyDescent="0.2">
      <c r="B47" t="s">
        <v>36</v>
      </c>
      <c r="C47" t="s">
        <v>181</v>
      </c>
    </row>
    <row r="48" spans="1:19" x14ac:dyDescent="0.2">
      <c r="B48" t="s">
        <v>37</v>
      </c>
      <c r="C48" t="s">
        <v>181</v>
      </c>
    </row>
    <row r="49" spans="1:19" x14ac:dyDescent="0.2">
      <c r="B49" s="8" t="s">
        <v>38</v>
      </c>
      <c r="C49" s="13">
        <f>ROUND(D49,2)</f>
        <v>0.94</v>
      </c>
      <c r="D49" s="14">
        <f>_xlfn.NORM.S.DIST(_xlfn.NORM.S.INV(D50)+D6,TRUE)</f>
        <v>0.93848389141906785</v>
      </c>
      <c r="K49" t="s">
        <v>182</v>
      </c>
      <c r="M49" t="s">
        <v>128</v>
      </c>
      <c r="N49" t="s">
        <v>183</v>
      </c>
    </row>
    <row r="50" spans="1:19" x14ac:dyDescent="0.2">
      <c r="A50">
        <v>1</v>
      </c>
      <c r="B50" t="s">
        <v>39</v>
      </c>
      <c r="C50">
        <f>D50</f>
        <v>0.71299999999999997</v>
      </c>
      <c r="D50">
        <v>0.71299999999999997</v>
      </c>
      <c r="E50">
        <f>(G50-C50)/1.96</f>
        <v>7.2755102040816297E-2</v>
      </c>
      <c r="F50">
        <f>C50*$F$7</f>
        <v>0.57040000000000002</v>
      </c>
      <c r="G50">
        <f>C50*$G$7</f>
        <v>0.85559999999999992</v>
      </c>
      <c r="H50" t="s">
        <v>88</v>
      </c>
      <c r="I50">
        <f>C50*(((C50*(1-C50))/E50^2)-1)</f>
        <v>26.850480000000022</v>
      </c>
      <c r="J50">
        <f>(1-C50)*(((C50*(1-C50))/E50^2)-1)</f>
        <v>10.807977223001412</v>
      </c>
      <c r="K50" t="s">
        <v>184</v>
      </c>
      <c r="L50" t="s">
        <v>185</v>
      </c>
      <c r="M50" s="6" t="s">
        <v>186</v>
      </c>
      <c r="N50" t="s">
        <v>187</v>
      </c>
    </row>
    <row r="51" spans="1:19" x14ac:dyDescent="0.2">
      <c r="A51">
        <v>1</v>
      </c>
      <c r="B51" s="3" t="s">
        <v>188</v>
      </c>
      <c r="C51">
        <f>ROUND(D51,2)</f>
        <v>1.1499999999999999</v>
      </c>
      <c r="D51">
        <f>151329/132113</f>
        <v>1.1454512424969534</v>
      </c>
      <c r="K51" t="s">
        <v>189</v>
      </c>
      <c r="L51" t="s">
        <v>190</v>
      </c>
      <c r="M51" s="11" t="s">
        <v>191</v>
      </c>
      <c r="N51" t="s">
        <v>192</v>
      </c>
    </row>
    <row r="52" spans="1:19" x14ac:dyDescent="0.2">
      <c r="A52">
        <v>1</v>
      </c>
      <c r="B52" s="3" t="s">
        <v>193</v>
      </c>
      <c r="C52">
        <f>R52</f>
        <v>365</v>
      </c>
      <c r="D52">
        <v>314.76</v>
      </c>
      <c r="K52" t="s">
        <v>194</v>
      </c>
      <c r="L52" t="s">
        <v>195</v>
      </c>
      <c r="M52" s="11" t="s">
        <v>191</v>
      </c>
      <c r="N52" t="s">
        <v>196</v>
      </c>
      <c r="O52" t="s">
        <v>166</v>
      </c>
      <c r="P52">
        <v>2022</v>
      </c>
      <c r="Q52" t="s">
        <v>197</v>
      </c>
      <c r="R52" cm="1">
        <f t="array" ref="R52">ROUND(D52*PRODUCT(1+NHSII!C10:C12),0)</f>
        <v>365</v>
      </c>
      <c r="S52" t="s">
        <v>159</v>
      </c>
    </row>
    <row r="53" spans="1:19" ht="17" x14ac:dyDescent="0.25">
      <c r="A53">
        <v>1</v>
      </c>
      <c r="B53" s="9" t="s">
        <v>198</v>
      </c>
      <c r="C53">
        <f>D53</f>
        <v>0.1</v>
      </c>
      <c r="D53">
        <v>0.1</v>
      </c>
      <c r="K53" t="s">
        <v>199</v>
      </c>
      <c r="L53" t="s">
        <v>200</v>
      </c>
      <c r="M53" s="11" t="s">
        <v>180</v>
      </c>
    </row>
    <row r="54" spans="1:19" x14ac:dyDescent="0.2">
      <c r="A54">
        <v>1</v>
      </c>
      <c r="B54" t="s">
        <v>201</v>
      </c>
      <c r="C54" s="10">
        <f>D54</f>
        <v>113041</v>
      </c>
      <c r="D54" s="10">
        <v>113041</v>
      </c>
      <c r="K54" t="s">
        <v>202</v>
      </c>
      <c r="L54" t="s">
        <v>203</v>
      </c>
      <c r="M54" s="6" t="s">
        <v>204</v>
      </c>
      <c r="N54" t="s">
        <v>205</v>
      </c>
    </row>
    <row r="55" spans="1:19" ht="68" x14ac:dyDescent="0.2">
      <c r="A55">
        <v>1</v>
      </c>
      <c r="B55" t="s">
        <v>206</v>
      </c>
      <c r="C55">
        <f>R55</f>
        <v>1001.33</v>
      </c>
      <c r="D55">
        <v>667.17</v>
      </c>
      <c r="E55">
        <f>(G55-C55)/1.96</f>
        <v>102.17653061224487</v>
      </c>
      <c r="F55">
        <f>C55*$F$7</f>
        <v>801.06400000000008</v>
      </c>
      <c r="G55">
        <f>C55*$G$7</f>
        <v>1201.596</v>
      </c>
      <c r="H55" t="s">
        <v>145</v>
      </c>
      <c r="I55">
        <f>C55^2/E55^2</f>
        <v>96.040000000000049</v>
      </c>
      <c r="J55">
        <f>E55^2/C55</f>
        <v>10.426176593086209</v>
      </c>
      <c r="K55" t="s">
        <v>207</v>
      </c>
      <c r="L55" t="s">
        <v>208</v>
      </c>
      <c r="M55" s="11" t="s">
        <v>209</v>
      </c>
      <c r="N55" s="1" t="s">
        <v>210</v>
      </c>
      <c r="O55" t="s">
        <v>166</v>
      </c>
      <c r="P55">
        <v>2006</v>
      </c>
      <c r="Q55" t="s">
        <v>167</v>
      </c>
      <c r="R55" s="2" cm="1">
        <f t="array" ref="R55">ROUND(D55*NHSII!N5/NHSII!N4*PRODUCT(1+NHSII!D5:D12),2)</f>
        <v>1001.33</v>
      </c>
      <c r="S55" t="s">
        <v>211</v>
      </c>
    </row>
    <row r="56" spans="1:19" x14ac:dyDescent="0.2">
      <c r="A56">
        <v>1</v>
      </c>
      <c r="B56" t="s">
        <v>212</v>
      </c>
      <c r="C56">
        <f>D56</f>
        <v>0.127</v>
      </c>
      <c r="D56">
        <v>0.127</v>
      </c>
      <c r="K56" t="s">
        <v>213</v>
      </c>
      <c r="L56" t="s">
        <v>214</v>
      </c>
      <c r="M56" s="6" t="s">
        <v>204</v>
      </c>
      <c r="N56" t="s">
        <v>215</v>
      </c>
    </row>
  </sheetData>
  <autoFilter ref="A1:N53" xr:uid="{F152BD3A-13E8-CE4E-A599-EB9E02194D16}"/>
  <phoneticPr fontId="6" type="noConversion"/>
  <hyperlinks>
    <hyperlink ref="M18" r:id="rId1" xr:uid="{F0BC066B-2241-9844-8665-3E0D4831814E}"/>
    <hyperlink ref="M19" r:id="rId2" xr:uid="{AFE13F82-FA92-1748-ACF9-8FE14202140D}"/>
    <hyperlink ref="M9" r:id="rId3" xr:uid="{A4CA94B7-765B-0846-B276-1AB529D65D8C}"/>
    <hyperlink ref="M10" r:id="rId4" xr:uid="{C40F23A1-CAB4-434B-85D5-03058A68AA44}"/>
    <hyperlink ref="M12" r:id="rId5" xr:uid="{8EF45808-14CE-F844-9C55-A560C10B8238}"/>
    <hyperlink ref="M13" r:id="rId6" xr:uid="{D3149CD4-9AB1-3645-A984-C4F11DC880A8}"/>
    <hyperlink ref="M50" r:id="rId7" xr:uid="{70C3EBC3-7F65-B440-B552-878C05CE2AD1}"/>
    <hyperlink ref="M45" r:id="rId8" xr:uid="{2902DA51-02B3-1D41-ACA4-789BB04BE510}"/>
    <hyperlink ref="M41" r:id="rId9" location="sec-3 " xr:uid="{BA91A8D4-D449-F049-BE97-DAA01FEDB1C4}"/>
    <hyperlink ref="M29" r:id="rId10" location="DC1 " xr:uid="{5BD86487-10AA-C14D-8586-22284C067468}"/>
    <hyperlink ref="M23" r:id="rId11" location="DC1 " xr:uid="{81F0ED29-8818-D948-BD39-BF61C3DD2E11}"/>
    <hyperlink ref="M42" r:id="rId12" location="DC1 " xr:uid="{F712B570-0E1A-DB40-AEEC-0EA80E80FD6E}"/>
    <hyperlink ref="M30" r:id="rId13" xr:uid="{F8DA320E-54DC-5E47-AFF3-3BAE0DB79FE2}"/>
    <hyperlink ref="M31" r:id="rId14" xr:uid="{655D2332-9F96-434F-B0EC-BFA1E07435CA}"/>
    <hyperlink ref="M17" r:id="rId15" location="sec3 " xr:uid="{2CDAE096-467E-FD46-B712-D56088C6563B}"/>
    <hyperlink ref="M15" r:id="rId16" xr:uid="{1D449CF0-F07F-F646-941A-BD01450E9DCF}"/>
    <hyperlink ref="M54" r:id="rId17" xr:uid="{9BD541B2-AFFF-9B4E-A1E2-2DF591C4F4BF}"/>
    <hyperlink ref="M56" r:id="rId18" xr:uid="{8CA2836B-1C11-B045-A103-BAC0DDB9172B}"/>
  </hyperlinks>
  <pageMargins left="0.7" right="0.7" top="0.75" bottom="0.75" header="0.3" footer="0.3"/>
  <pageSetup paperSize="9" orientation="portrait" horizontalDpi="0" verticalDpi="0"/>
  <legacy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4FEB-486E-194E-AEB2-24ADFB13AA82}">
  <dimension ref="A1:C43"/>
  <sheetViews>
    <sheetView workbookViewId="0">
      <selection activeCell="C1" sqref="C1"/>
    </sheetView>
  </sheetViews>
  <sheetFormatPr baseColWidth="10" defaultColWidth="11" defaultRowHeight="16" x14ac:dyDescent="0.2"/>
  <cols>
    <col min="1" max="1" width="17.33203125" customWidth="1"/>
    <col min="2" max="2" width="24.33203125" customWidth="1"/>
  </cols>
  <sheetData>
    <row r="1" spans="1:3" x14ac:dyDescent="0.2">
      <c r="A1" t="s">
        <v>0</v>
      </c>
      <c r="B1" t="s">
        <v>44</v>
      </c>
      <c r="C1" s="16" t="s">
        <v>3</v>
      </c>
    </row>
    <row r="2" spans="1:3" x14ac:dyDescent="0.2">
      <c r="A2" t="s">
        <v>4</v>
      </c>
      <c r="B2">
        <v>-0.5</v>
      </c>
    </row>
    <row r="3" spans="1:3" x14ac:dyDescent="0.2">
      <c r="A3" t="s">
        <v>5</v>
      </c>
      <c r="B3">
        <v>-0.67</v>
      </c>
    </row>
    <row r="4" spans="1:3" x14ac:dyDescent="0.2">
      <c r="A4" t="s">
        <v>6</v>
      </c>
      <c r="B4">
        <v>-0.63</v>
      </c>
    </row>
    <row r="5" spans="1:3" x14ac:dyDescent="0.2">
      <c r="A5" t="s">
        <v>7</v>
      </c>
      <c r="B5">
        <v>0.83</v>
      </c>
    </row>
    <row r="6" spans="1:3" x14ac:dyDescent="0.2">
      <c r="A6" t="s">
        <v>8</v>
      </c>
      <c r="B6">
        <f>VLOOKUP(A6,GP_full!B:C,2,FALSE)</f>
        <v>19255229</v>
      </c>
    </row>
    <row r="7" spans="1:3" x14ac:dyDescent="0.2">
      <c r="A7" t="s">
        <v>9</v>
      </c>
      <c r="B7">
        <f>VLOOKUP(A7,GP_full!B:C,2,FALSE)</f>
        <v>0.435</v>
      </c>
    </row>
    <row r="8" spans="1:3" x14ac:dyDescent="0.2">
      <c r="A8" t="s">
        <v>10</v>
      </c>
      <c r="B8">
        <f>VLOOKUP(A8,GP_full!B:C,2,FALSE)</f>
        <v>7.1999999999999995E-2</v>
      </c>
    </row>
    <row r="9" spans="1:3" x14ac:dyDescent="0.2">
      <c r="A9" t="s">
        <v>11</v>
      </c>
      <c r="B9">
        <f>VLOOKUP(A9,GP_full!B:C,2,FALSE)</f>
        <v>8.3799999999999999E-2</v>
      </c>
    </row>
    <row r="10" spans="1:3" x14ac:dyDescent="0.2">
      <c r="A10" t="s">
        <v>12</v>
      </c>
      <c r="B10">
        <f>VLOOKUP(A10,GP_full!B:C,2,FALSE)</f>
        <v>28249</v>
      </c>
    </row>
    <row r="11" spans="1:3" x14ac:dyDescent="0.2">
      <c r="A11" t="s">
        <v>13</v>
      </c>
      <c r="B11">
        <f>VLOOKUP(A11,GP_full!B:C,2,FALSE)</f>
        <v>1</v>
      </c>
    </row>
    <row r="12" spans="1:3" x14ac:dyDescent="0.2">
      <c r="A12" t="s">
        <v>14</v>
      </c>
      <c r="B12">
        <f>VLOOKUP(A12,GP_full!B:C,2,FALSE)</f>
        <v>12</v>
      </c>
    </row>
    <row r="13" spans="1:3" x14ac:dyDescent="0.2">
      <c r="A13" t="s">
        <v>15</v>
      </c>
      <c r="B13">
        <f>VLOOKUP(A13,GP_full!B:C,2,FALSE)</f>
        <v>12</v>
      </c>
    </row>
    <row r="14" spans="1:3" x14ac:dyDescent="0.2">
      <c r="A14" t="s">
        <v>16</v>
      </c>
    </row>
    <row r="15" spans="1:3" x14ac:dyDescent="0.2">
      <c r="A15" t="s">
        <v>17</v>
      </c>
    </row>
    <row r="16" spans="1:3" x14ac:dyDescent="0.2">
      <c r="A16" t="s">
        <v>18</v>
      </c>
    </row>
    <row r="17" spans="1:2" x14ac:dyDescent="0.2">
      <c r="A17" t="s">
        <v>19</v>
      </c>
      <c r="B17">
        <f>VLOOKUP(A17,GP_full!B:C,2,FALSE)</f>
        <v>2.5</v>
      </c>
    </row>
    <row r="18" spans="1:2" x14ac:dyDescent="0.2">
      <c r="A18" t="s">
        <v>20</v>
      </c>
      <c r="B18">
        <f>VLOOKUP(A18,GP_full!B:C,2,FALSE)</f>
        <v>21.7</v>
      </c>
    </row>
    <row r="19" spans="1:2" x14ac:dyDescent="0.2">
      <c r="A19" t="s">
        <v>21</v>
      </c>
      <c r="B19">
        <f>VLOOKUP(A19,GP_full!B:C,2,FALSE)</f>
        <v>27.9</v>
      </c>
    </row>
    <row r="20" spans="1:2" x14ac:dyDescent="0.2">
      <c r="A20" t="s">
        <v>22</v>
      </c>
      <c r="B20">
        <f>GP_full!E26</f>
        <v>0.80900000000000005</v>
      </c>
    </row>
    <row r="21" spans="1:2" x14ac:dyDescent="0.2">
      <c r="A21" t="s">
        <v>23</v>
      </c>
      <c r="B21">
        <f>GP_full!E27</f>
        <v>13.331</v>
      </c>
    </row>
    <row r="22" spans="1:2" x14ac:dyDescent="0.2">
      <c r="A22" t="s">
        <v>24</v>
      </c>
      <c r="B22">
        <f>GP_full!E28</f>
        <v>14.566000000000001</v>
      </c>
    </row>
    <row r="23" spans="1:2" x14ac:dyDescent="0.2">
      <c r="A23" t="s">
        <v>25</v>
      </c>
      <c r="B23">
        <f>VLOOKUP(A23,GP_full!B:C,2,FALSE)</f>
        <v>3.1</v>
      </c>
    </row>
    <row r="24" spans="1:2" x14ac:dyDescent="0.2">
      <c r="A24" t="s">
        <v>26</v>
      </c>
      <c r="B24">
        <f>VLOOKUP(A24,GP_full!B:C,2,FALSE)</f>
        <v>14.6</v>
      </c>
    </row>
    <row r="25" spans="1:2" x14ac:dyDescent="0.2">
      <c r="A25" t="s">
        <v>27</v>
      </c>
      <c r="B25">
        <f>VLOOKUP(A25,GP_full!B:C,2,FALSE)</f>
        <v>5</v>
      </c>
    </row>
    <row r="26" spans="1:2" x14ac:dyDescent="0.2">
      <c r="A26" t="s">
        <v>28</v>
      </c>
      <c r="B26">
        <f>VLOOKUP(A26,GP_full!B:C,2,FALSE)</f>
        <v>7</v>
      </c>
    </row>
    <row r="27" spans="1:2" x14ac:dyDescent="0.2">
      <c r="A27" t="s">
        <v>29</v>
      </c>
      <c r="B27">
        <v>1</v>
      </c>
    </row>
    <row r="28" spans="1:2" x14ac:dyDescent="0.2">
      <c r="A28" t="s">
        <v>30</v>
      </c>
      <c r="B28">
        <f>VLOOKUP(A28,GP_full!B:C,2,FALSE)</f>
        <v>161</v>
      </c>
    </row>
    <row r="29" spans="1:2" x14ac:dyDescent="0.2">
      <c r="A29" t="s">
        <v>31</v>
      </c>
      <c r="B29">
        <f>VLOOKUP(A29,GP_full!B:C,2,FALSE)</f>
        <v>233</v>
      </c>
    </row>
    <row r="30" spans="1:2" x14ac:dyDescent="0.2">
      <c r="A30" t="s">
        <v>32</v>
      </c>
      <c r="B30">
        <f>VLOOKUP(A30,GP_full!B:C,2,FALSE)</f>
        <v>7788</v>
      </c>
    </row>
    <row r="31" spans="1:2" x14ac:dyDescent="0.2">
      <c r="A31" t="s">
        <v>33</v>
      </c>
      <c r="B31">
        <f>VLOOKUP(A31,GP_full!B:C,2,FALSE)</f>
        <v>13527</v>
      </c>
    </row>
    <row r="32" spans="1:2" x14ac:dyDescent="0.2">
      <c r="A32" t="s">
        <v>34</v>
      </c>
      <c r="B32">
        <f>VLOOKUP(A32,GP_full!B:C,2,FALSE)</f>
        <v>4.47</v>
      </c>
    </row>
    <row r="33" spans="1:2" x14ac:dyDescent="0.2">
      <c r="A33" t="s">
        <v>35</v>
      </c>
      <c r="B33">
        <f>VLOOKUP(A33,GP_full!B:C,2,FALSE)</f>
        <v>2</v>
      </c>
    </row>
    <row r="34" spans="1:2" x14ac:dyDescent="0.2">
      <c r="A34" t="s">
        <v>36</v>
      </c>
      <c r="B34" t="str">
        <f>VLOOKUP(A34,GP_full!B:C,2,FALSE)</f>
        <v>NA</v>
      </c>
    </row>
    <row r="35" spans="1:2" x14ac:dyDescent="0.2">
      <c r="A35" t="s">
        <v>37</v>
      </c>
      <c r="B35" t="str">
        <f>VLOOKUP(A35,GP_full!B:C,2,FALSE)</f>
        <v>NA</v>
      </c>
    </row>
    <row r="36" spans="1:2" x14ac:dyDescent="0.2">
      <c r="A36" s="8" t="s">
        <v>38</v>
      </c>
    </row>
    <row r="37" spans="1:2" x14ac:dyDescent="0.2">
      <c r="A37" t="s">
        <v>39</v>
      </c>
      <c r="B37">
        <f>VLOOKUP(A37,GP_full!B:C,2,FALSE)</f>
        <v>0.71299999999999997</v>
      </c>
    </row>
    <row r="38" spans="1:2" x14ac:dyDescent="0.2">
      <c r="A38" t="s">
        <v>40</v>
      </c>
      <c r="B38" t="e">
        <f>VLOOKUP(A38,GP_full!B:C,2,FALSE)</f>
        <v>#N/A</v>
      </c>
    </row>
    <row r="39" spans="1:2" x14ac:dyDescent="0.2">
      <c r="A39" s="3" t="s">
        <v>41</v>
      </c>
      <c r="B39" t="e">
        <f>VLOOKUP(A39,GP_full!B:C,2,FALSE)</f>
        <v>#N/A</v>
      </c>
    </row>
    <row r="40" spans="1:2" ht="17" x14ac:dyDescent="0.25">
      <c r="A40" s="9" t="s">
        <v>42</v>
      </c>
      <c r="B40" t="e">
        <f>VLOOKUP(A40,GP_full!B:C,2,FALSE)</f>
        <v>#N/A</v>
      </c>
    </row>
    <row r="41" spans="1:2" x14ac:dyDescent="0.2">
      <c r="A41" t="s">
        <v>216</v>
      </c>
      <c r="B41" t="s">
        <v>217</v>
      </c>
    </row>
    <row r="42" spans="1:2" x14ac:dyDescent="0.2">
      <c r="A42" t="s">
        <v>218</v>
      </c>
      <c r="B42" t="s">
        <v>219</v>
      </c>
    </row>
    <row r="43" spans="1:2" x14ac:dyDescent="0.2">
      <c r="A43" t="s">
        <v>220</v>
      </c>
      <c r="B43" t="s">
        <v>221</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82D1-BAF1-DE43-9964-E8342718A99E}">
  <dimension ref="A1:S51"/>
  <sheetViews>
    <sheetView topLeftCell="I1" zoomScale="132" workbookViewId="0">
      <pane ySplit="1" topLeftCell="A2" activePane="bottomLeft" state="frozen"/>
      <selection pane="bottomLeft" activeCell="M8" sqref="M8"/>
    </sheetView>
  </sheetViews>
  <sheetFormatPr baseColWidth="10" defaultColWidth="11" defaultRowHeight="16" x14ac:dyDescent="0.2"/>
  <cols>
    <col min="1" max="1" width="8.1640625" customWidth="1"/>
    <col min="2" max="2" width="25" customWidth="1"/>
    <col min="3" max="3" width="13.83203125" customWidth="1"/>
    <col min="4" max="4" width="13.6640625" customWidth="1"/>
    <col min="5" max="10" width="10.83203125" customWidth="1"/>
    <col min="11" max="11" width="35.1640625" customWidth="1"/>
    <col min="12" max="12" width="14.33203125" customWidth="1"/>
    <col min="13" max="13" width="48.6640625" customWidth="1"/>
    <col min="14" max="14" width="15.1640625" customWidth="1"/>
    <col min="16" max="16" width="20.5" customWidth="1"/>
    <col min="1997" max="1997" width="2.5" customWidth="1"/>
    <col min="2000" max="2000" width="2.5" customWidth="1"/>
    <col min="2002" max="2002" width="2.5" customWidth="1"/>
  </cols>
  <sheetData>
    <row r="1" spans="1:19" s="4" customFormat="1" x14ac:dyDescent="0.2">
      <c r="A1" s="4" t="s">
        <v>43</v>
      </c>
      <c r="B1" s="4" t="s">
        <v>0</v>
      </c>
      <c r="C1" s="4" t="s">
        <v>44</v>
      </c>
      <c r="D1" s="4" t="s">
        <v>45</v>
      </c>
      <c r="E1" s="4" t="s">
        <v>46</v>
      </c>
      <c r="F1" s="4" t="s">
        <v>47</v>
      </c>
      <c r="G1" s="4" t="s">
        <v>48</v>
      </c>
      <c r="H1" s="4" t="s">
        <v>49</v>
      </c>
      <c r="I1" s="4" t="s">
        <v>50</v>
      </c>
      <c r="J1" s="4" t="s">
        <v>51</v>
      </c>
      <c r="K1" s="4" t="s">
        <v>52</v>
      </c>
      <c r="L1" s="4" t="s">
        <v>54</v>
      </c>
      <c r="M1" s="4" t="s">
        <v>55</v>
      </c>
      <c r="N1" s="4" t="s">
        <v>53</v>
      </c>
      <c r="O1" s="4" t="s">
        <v>56</v>
      </c>
      <c r="P1" s="4" t="s">
        <v>57</v>
      </c>
      <c r="Q1" s="4" t="s">
        <v>58</v>
      </c>
      <c r="R1" s="4" t="s">
        <v>59</v>
      </c>
      <c r="S1" s="4" t="s">
        <v>60</v>
      </c>
    </row>
    <row r="2" spans="1:19" s="5" customFormat="1" x14ac:dyDescent="0.2">
      <c r="K2" s="15" t="s">
        <v>61</v>
      </c>
      <c r="N2" s="15"/>
    </row>
    <row r="3" spans="1:19" x14ac:dyDescent="0.2">
      <c r="A3">
        <v>1</v>
      </c>
      <c r="B3" t="s">
        <v>5</v>
      </c>
      <c r="C3">
        <f t="shared" ref="C3:C4" si="0">D3</f>
        <v>-0.63</v>
      </c>
      <c r="D3">
        <v>-0.63</v>
      </c>
      <c r="E3">
        <f t="shared" ref="E3" si="1">(G3-C3)/1.96</f>
        <v>0.5</v>
      </c>
      <c r="F3">
        <v>-1.61</v>
      </c>
      <c r="G3">
        <v>0.35</v>
      </c>
      <c r="H3" t="s">
        <v>62</v>
      </c>
      <c r="I3">
        <f t="shared" ref="I3:I4" si="2">C3</f>
        <v>-0.63</v>
      </c>
      <c r="J3">
        <f t="shared" ref="J3:J4" si="3">E3</f>
        <v>0.5</v>
      </c>
      <c r="K3" t="s">
        <v>69</v>
      </c>
      <c r="M3" t="s">
        <v>71</v>
      </c>
      <c r="N3" t="s">
        <v>70</v>
      </c>
    </row>
    <row r="4" spans="1:19" x14ac:dyDescent="0.2">
      <c r="A4">
        <v>1</v>
      </c>
      <c r="B4" t="s">
        <v>7</v>
      </c>
      <c r="C4">
        <f t="shared" si="0"/>
        <v>0.98</v>
      </c>
      <c r="D4">
        <v>0.98</v>
      </c>
      <c r="E4">
        <f>(G4-C4)/1.96</f>
        <v>0.26020408163265307</v>
      </c>
      <c r="F4">
        <v>0.46</v>
      </c>
      <c r="G4">
        <v>1.49</v>
      </c>
      <c r="H4" t="s">
        <v>62</v>
      </c>
      <c r="I4">
        <f t="shared" si="2"/>
        <v>0.98</v>
      </c>
      <c r="J4">
        <f t="shared" si="3"/>
        <v>0.26020408163265307</v>
      </c>
      <c r="K4" t="s">
        <v>72</v>
      </c>
      <c r="M4" t="s">
        <v>74</v>
      </c>
      <c r="N4" t="s">
        <v>73</v>
      </c>
    </row>
    <row r="5" spans="1:19" s="5" customFormat="1" x14ac:dyDescent="0.2">
      <c r="F5" s="5">
        <v>0.8</v>
      </c>
      <c r="G5" s="5">
        <v>1.2</v>
      </c>
      <c r="K5" s="15" t="s">
        <v>75</v>
      </c>
      <c r="L5" s="12" t="s">
        <v>222</v>
      </c>
      <c r="M5" s="5" t="s">
        <v>223</v>
      </c>
      <c r="N5" s="15"/>
      <c r="O5"/>
      <c r="P5"/>
      <c r="Q5"/>
      <c r="R5"/>
      <c r="S5"/>
    </row>
    <row r="6" spans="1:19" x14ac:dyDescent="0.2">
      <c r="B6" t="s">
        <v>8</v>
      </c>
      <c r="C6">
        <f>C7*C8</f>
        <v>107384.774</v>
      </c>
      <c r="D6">
        <f>ROUND(D8*D7,0)</f>
        <v>107385</v>
      </c>
      <c r="K6" t="s">
        <v>224</v>
      </c>
      <c r="L6" s="6" t="s">
        <v>225</v>
      </c>
      <c r="M6" t="s">
        <v>226</v>
      </c>
    </row>
    <row r="7" spans="1:19" x14ac:dyDescent="0.2">
      <c r="A7">
        <v>1</v>
      </c>
      <c r="B7" s="7" t="s">
        <v>76</v>
      </c>
      <c r="C7">
        <f>D7</f>
        <v>7.0000000000000001E-3</v>
      </c>
      <c r="D7">
        <v>7.0000000000000001E-3</v>
      </c>
      <c r="E7">
        <f>(G7-C7)/1.96</f>
        <v>7.1428571428571396E-4</v>
      </c>
      <c r="F7">
        <f>C7*$F$5</f>
        <v>5.6000000000000008E-3</v>
      </c>
      <c r="G7">
        <f>C7*$G$5</f>
        <v>8.3999999999999995E-3</v>
      </c>
      <c r="H7" t="s">
        <v>88</v>
      </c>
      <c r="I7">
        <f>C7*(((C7*(1-C7))/E7^2)-1)</f>
        <v>95.360720000000086</v>
      </c>
      <c r="J7">
        <f>(1-C7)*(((C7*(1-C7))/E7^2)-1)</f>
        <v>13527.599280000011</v>
      </c>
      <c r="K7" t="s">
        <v>227</v>
      </c>
      <c r="L7" s="6" t="s">
        <v>228</v>
      </c>
      <c r="M7" t="s">
        <v>229</v>
      </c>
      <c r="N7" t="s">
        <v>227</v>
      </c>
      <c r="O7" s="5"/>
      <c r="P7" s="5"/>
      <c r="Q7" s="5"/>
      <c r="R7" s="5"/>
      <c r="S7" s="5"/>
    </row>
    <row r="8" spans="1:19" x14ac:dyDescent="0.2">
      <c r="A8">
        <v>1</v>
      </c>
      <c r="B8" s="7" t="s">
        <v>81</v>
      </c>
      <c r="C8" s="10">
        <f>D8</f>
        <v>15340682</v>
      </c>
      <c r="D8" s="20">
        <v>15340682</v>
      </c>
      <c r="F8" s="10">
        <f>C8</f>
        <v>15340682</v>
      </c>
      <c r="G8" s="10">
        <f>C8</f>
        <v>15340682</v>
      </c>
      <c r="K8" t="s">
        <v>230</v>
      </c>
      <c r="L8" s="6" t="s">
        <v>231</v>
      </c>
      <c r="M8" t="s">
        <v>232</v>
      </c>
      <c r="N8" t="s">
        <v>233</v>
      </c>
    </row>
    <row r="9" spans="1:19" x14ac:dyDescent="0.2">
      <c r="A9">
        <v>2</v>
      </c>
      <c r="B9" s="7" t="s">
        <v>86</v>
      </c>
      <c r="C9" s="10" t="str">
        <f>D9</f>
        <v>n_pt_compo1*n_pt_compo2</v>
      </c>
      <c r="D9" s="10" t="s">
        <v>234</v>
      </c>
      <c r="L9" s="6"/>
    </row>
    <row r="10" spans="1:19" x14ac:dyDescent="0.2">
      <c r="B10" t="s">
        <v>9</v>
      </c>
      <c r="C10" t="s">
        <v>181</v>
      </c>
      <c r="L10" s="6"/>
    </row>
    <row r="11" spans="1:19" x14ac:dyDescent="0.2">
      <c r="B11" t="s">
        <v>10</v>
      </c>
      <c r="C11" t="s">
        <v>181</v>
      </c>
    </row>
    <row r="12" spans="1:19" x14ac:dyDescent="0.2">
      <c r="B12" t="s">
        <v>11</v>
      </c>
      <c r="C12" t="s">
        <v>181</v>
      </c>
    </row>
    <row r="13" spans="1:19" x14ac:dyDescent="0.2">
      <c r="B13" t="s">
        <v>12</v>
      </c>
      <c r="D13">
        <f>ROUND(D8*D7*D14/D15,0)</f>
        <v>165</v>
      </c>
      <c r="K13" t="s">
        <v>235</v>
      </c>
      <c r="L13" s="11" t="s">
        <v>236</v>
      </c>
      <c r="M13" t="s">
        <v>237</v>
      </c>
    </row>
    <row r="14" spans="1:19" x14ac:dyDescent="0.2">
      <c r="A14">
        <v>1</v>
      </c>
      <c r="B14" s="7" t="s">
        <v>115</v>
      </c>
      <c r="C14">
        <f>D14</f>
        <v>2</v>
      </c>
      <c r="D14">
        <v>2</v>
      </c>
      <c r="E14">
        <f>(G14-C14)/1.96</f>
        <v>0.20408163265306117</v>
      </c>
      <c r="F14">
        <f>C14*$F$5</f>
        <v>1.6</v>
      </c>
      <c r="G14">
        <f>C14*$G$5</f>
        <v>2.4</v>
      </c>
      <c r="H14" t="s">
        <v>238</v>
      </c>
      <c r="I14">
        <f>LN(C14^2/SQRT(C14^2+E14^2))</f>
        <v>0.68796793391857425</v>
      </c>
      <c r="J14">
        <f>SQRT(LN(1+E14^2/C14^2))</f>
        <v>0.10177668339429286</v>
      </c>
      <c r="K14" t="s">
        <v>239</v>
      </c>
      <c r="L14" s="11"/>
      <c r="N14" t="s">
        <v>240</v>
      </c>
    </row>
    <row r="15" spans="1:19" x14ac:dyDescent="0.2">
      <c r="A15">
        <v>1</v>
      </c>
      <c r="B15" s="7" t="s">
        <v>116</v>
      </c>
      <c r="C15">
        <f>D15</f>
        <v>1301.0249999999999</v>
      </c>
      <c r="D15">
        <f>7.5*209*83%</f>
        <v>1301.0249999999999</v>
      </c>
      <c r="E15">
        <f>(G15-C15)/1.96</f>
        <v>132.75765306122446</v>
      </c>
      <c r="F15">
        <f>C15*$F$5</f>
        <v>1040.82</v>
      </c>
      <c r="G15">
        <f>C15*$G$5</f>
        <v>1561.2299999999998</v>
      </c>
      <c r="H15" t="s">
        <v>238</v>
      </c>
      <c r="I15">
        <f>LN(C15^2/SQRT(C15^2+E15^2))</f>
        <v>7.1657284476742111</v>
      </c>
      <c r="J15">
        <f>SQRT(LN(1+E15^2/C15^2))</f>
        <v>0.10177668339429286</v>
      </c>
      <c r="K15" t="s">
        <v>241</v>
      </c>
      <c r="L15" s="11" t="s">
        <v>242</v>
      </c>
      <c r="N15" t="s">
        <v>243</v>
      </c>
    </row>
    <row r="16" spans="1:19" x14ac:dyDescent="0.2">
      <c r="A16">
        <v>2</v>
      </c>
      <c r="B16" s="7" t="s">
        <v>117</v>
      </c>
      <c r="C16" t="str">
        <f>D16</f>
        <v>(n_pt_compo1*n_pt_compo2)*n_provider_compo1/n_provider_compo2</v>
      </c>
      <c r="D16" t="s">
        <v>244</v>
      </c>
      <c r="L16" s="11"/>
    </row>
    <row r="17" spans="1:14" ht="34" x14ac:dyDescent="0.2">
      <c r="A17">
        <v>1</v>
      </c>
      <c r="B17" t="s">
        <v>13</v>
      </c>
      <c r="C17">
        <f>D17</f>
        <v>14</v>
      </c>
      <c r="D17">
        <v>14</v>
      </c>
      <c r="F17">
        <f>C17</f>
        <v>14</v>
      </c>
      <c r="G17">
        <f>C17</f>
        <v>14</v>
      </c>
      <c r="K17" s="1" t="s">
        <v>245</v>
      </c>
      <c r="L17" s="6" t="s">
        <v>246</v>
      </c>
      <c r="M17" t="s">
        <v>247</v>
      </c>
      <c r="N17" s="1" t="s">
        <v>248</v>
      </c>
    </row>
    <row r="18" spans="1:14" ht="34" x14ac:dyDescent="0.2">
      <c r="A18">
        <v>1</v>
      </c>
      <c r="B18" t="s">
        <v>14</v>
      </c>
      <c r="C18">
        <f>D18</f>
        <v>13</v>
      </c>
      <c r="D18">
        <v>13</v>
      </c>
      <c r="F18">
        <f>C18</f>
        <v>13</v>
      </c>
      <c r="G18">
        <f>C18</f>
        <v>13</v>
      </c>
      <c r="K18" s="1" t="s">
        <v>249</v>
      </c>
      <c r="L18" s="6" t="s">
        <v>250</v>
      </c>
      <c r="M18" t="s">
        <v>251</v>
      </c>
      <c r="N18" s="1" t="s">
        <v>126</v>
      </c>
    </row>
    <row r="19" spans="1:14" x14ac:dyDescent="0.2">
      <c r="B19" t="s">
        <v>15</v>
      </c>
      <c r="C19" t="s">
        <v>181</v>
      </c>
      <c r="E19" s="2"/>
    </row>
    <row r="20" spans="1:14" x14ac:dyDescent="0.2">
      <c r="A20">
        <v>1</v>
      </c>
      <c r="B20" t="s">
        <v>16</v>
      </c>
      <c r="C20" s="17">
        <f>D20</f>
        <v>13.1</v>
      </c>
      <c r="D20">
        <v>13.1</v>
      </c>
      <c r="E20">
        <v>6.41</v>
      </c>
      <c r="F20" s="17">
        <f>C20-1.96*E20</f>
        <v>0.53640000000000043</v>
      </c>
      <c r="G20" s="17">
        <f>C20+1.96*E20</f>
        <v>25.663599999999999</v>
      </c>
      <c r="H20" t="s">
        <v>62</v>
      </c>
      <c r="I20">
        <f t="shared" ref="I20" si="4">C20</f>
        <v>13.1</v>
      </c>
      <c r="J20">
        <f t="shared" ref="J20" si="5">E20</f>
        <v>6.41</v>
      </c>
      <c r="K20" t="s">
        <v>252</v>
      </c>
      <c r="L20" t="s">
        <v>253</v>
      </c>
      <c r="M20" t="s">
        <v>254</v>
      </c>
      <c r="N20" t="s">
        <v>255</v>
      </c>
    </row>
    <row r="21" spans="1:14" x14ac:dyDescent="0.2">
      <c r="B21" t="s">
        <v>17</v>
      </c>
      <c r="C21" s="13"/>
      <c r="D21">
        <v>7.77</v>
      </c>
      <c r="E21">
        <v>4.42</v>
      </c>
      <c r="F21" s="13">
        <f>C21-1.96*E21</f>
        <v>-8.6631999999999998</v>
      </c>
      <c r="G21" s="13">
        <f>C21+1.96*E21</f>
        <v>8.6631999999999998</v>
      </c>
      <c r="K21" t="s">
        <v>256</v>
      </c>
      <c r="L21" t="s">
        <v>253</v>
      </c>
      <c r="M21" t="s">
        <v>257</v>
      </c>
    </row>
    <row r="22" spans="1:14" x14ac:dyDescent="0.2">
      <c r="B22" t="s">
        <v>18</v>
      </c>
      <c r="C22" s="17" t="s">
        <v>181</v>
      </c>
      <c r="D22" s="13"/>
      <c r="F22" s="13"/>
      <c r="G22" s="13"/>
    </row>
    <row r="23" spans="1:14" x14ac:dyDescent="0.2">
      <c r="A23">
        <v>1</v>
      </c>
      <c r="B23" t="s">
        <v>19</v>
      </c>
      <c r="C23" s="2">
        <f>D23</f>
        <v>15.71</v>
      </c>
      <c r="D23">
        <v>15.71</v>
      </c>
      <c r="E23">
        <v>5.92</v>
      </c>
      <c r="F23" s="17">
        <f>C23-1.96*E23</f>
        <v>4.1068000000000016</v>
      </c>
      <c r="G23" s="17">
        <f>C23+1.96*E23</f>
        <v>27.313200000000002</v>
      </c>
      <c r="H23" t="s">
        <v>62</v>
      </c>
      <c r="I23">
        <f t="shared" ref="I23:I24" si="6">C23</f>
        <v>15.71</v>
      </c>
      <c r="J23">
        <f t="shared" ref="J23:J24" si="7">E23</f>
        <v>5.92</v>
      </c>
      <c r="K23" s="18" t="s">
        <v>258</v>
      </c>
      <c r="L23" s="8" t="s">
        <v>253</v>
      </c>
      <c r="M23" t="s">
        <v>259</v>
      </c>
      <c r="N23" s="18" t="s">
        <v>260</v>
      </c>
    </row>
    <row r="24" spans="1:14" x14ac:dyDescent="0.2">
      <c r="A24">
        <v>1</v>
      </c>
      <c r="B24" t="s">
        <v>20</v>
      </c>
      <c r="C24" s="2">
        <f>D24</f>
        <v>8.7899999999999991</v>
      </c>
      <c r="D24">
        <v>8.7899999999999991</v>
      </c>
      <c r="E24">
        <v>4.8600000000000003</v>
      </c>
      <c r="F24" s="17">
        <f>C24-1.96*E24</f>
        <v>-0.73560000000000159</v>
      </c>
      <c r="G24" s="17">
        <f>C24+1.96*E24</f>
        <v>18.3156</v>
      </c>
      <c r="H24" t="s">
        <v>62</v>
      </c>
      <c r="I24">
        <f t="shared" si="6"/>
        <v>8.7899999999999991</v>
      </c>
      <c r="J24">
        <f t="shared" si="7"/>
        <v>4.8600000000000003</v>
      </c>
      <c r="K24" s="18" t="s">
        <v>261</v>
      </c>
      <c r="L24" s="8" t="s">
        <v>253</v>
      </c>
      <c r="M24" t="s">
        <v>262</v>
      </c>
      <c r="N24" s="18" t="s">
        <v>140</v>
      </c>
    </row>
    <row r="25" spans="1:14" x14ac:dyDescent="0.2">
      <c r="B25" t="s">
        <v>21</v>
      </c>
      <c r="C25" s="2" t="s">
        <v>181</v>
      </c>
      <c r="E25" s="2"/>
      <c r="I25" s="2"/>
      <c r="L25" s="6"/>
    </row>
    <row r="26" spans="1:14" x14ac:dyDescent="0.2">
      <c r="A26">
        <v>1</v>
      </c>
      <c r="B26" t="s">
        <v>22</v>
      </c>
      <c r="C26" s="2">
        <f>D26</f>
        <v>5.92</v>
      </c>
      <c r="D26">
        <f>E23</f>
        <v>5.92</v>
      </c>
      <c r="E26" s="2"/>
      <c r="F26">
        <f>C26*$F$5</f>
        <v>4.7359999999999998</v>
      </c>
      <c r="G26">
        <f>C26*$G$5</f>
        <v>7.1040000000000001</v>
      </c>
      <c r="L26" s="6"/>
      <c r="N26" t="s">
        <v>263</v>
      </c>
    </row>
    <row r="27" spans="1:14" x14ac:dyDescent="0.2">
      <c r="A27">
        <v>1</v>
      </c>
      <c r="B27" t="s">
        <v>23</v>
      </c>
      <c r="C27" s="2">
        <f>D27</f>
        <v>4.8600000000000003</v>
      </c>
      <c r="D27">
        <f>E24</f>
        <v>4.8600000000000003</v>
      </c>
      <c r="E27" s="2"/>
      <c r="F27">
        <f>C27*$F$5</f>
        <v>3.8880000000000003</v>
      </c>
      <c r="G27">
        <f>C27*$G$5</f>
        <v>5.8319999999999999</v>
      </c>
      <c r="L27" s="6"/>
      <c r="N27" t="s">
        <v>264</v>
      </c>
    </row>
    <row r="28" spans="1:14" x14ac:dyDescent="0.2">
      <c r="B28" t="s">
        <v>24</v>
      </c>
      <c r="C28" s="2" t="s">
        <v>181</v>
      </c>
      <c r="E28" s="2"/>
      <c r="L28" s="6"/>
    </row>
    <row r="29" spans="1:14" ht="119" x14ac:dyDescent="0.2">
      <c r="A29">
        <v>1</v>
      </c>
      <c r="B29" t="s">
        <v>25</v>
      </c>
      <c r="C29" s="2">
        <f>D29</f>
        <v>3.1</v>
      </c>
      <c r="D29">
        <v>3.1</v>
      </c>
      <c r="E29">
        <f>(G29-C29)/1.96</f>
        <v>0.31632653061224475</v>
      </c>
      <c r="F29">
        <f>C29*$F$5</f>
        <v>2.4800000000000004</v>
      </c>
      <c r="G29">
        <f>C29*$G$5</f>
        <v>3.7199999999999998</v>
      </c>
      <c r="H29" t="s">
        <v>145</v>
      </c>
      <c r="I29">
        <f>C29^2/E29^2</f>
        <v>96.040000000000106</v>
      </c>
      <c r="J29">
        <f>E29^2/C29</f>
        <v>3.2278217409412717E-2</v>
      </c>
      <c r="K29" t="s">
        <v>265</v>
      </c>
      <c r="M29" s="1" t="s">
        <v>148</v>
      </c>
      <c r="N29" t="s">
        <v>147</v>
      </c>
    </row>
    <row r="30" spans="1:14" ht="119" x14ac:dyDescent="0.2">
      <c r="A30">
        <v>1</v>
      </c>
      <c r="B30" t="s">
        <v>26</v>
      </c>
      <c r="C30" s="2">
        <f t="shared" ref="C30:C41" si="8">D30</f>
        <v>14.6</v>
      </c>
      <c r="D30">
        <v>14.6</v>
      </c>
      <c r="E30">
        <f>(G30-C30)/1.96</f>
        <v>1.489795918367347</v>
      </c>
      <c r="F30">
        <f>C30*$F$5</f>
        <v>11.68</v>
      </c>
      <c r="G30">
        <f>C30*$G$5</f>
        <v>17.52</v>
      </c>
      <c r="H30" t="s">
        <v>145</v>
      </c>
      <c r="I30">
        <f>C30^2/E30^2</f>
        <v>96.039999999999992</v>
      </c>
      <c r="J30">
        <f>E30^2/C30</f>
        <v>0.15201999167013747</v>
      </c>
      <c r="K30" t="s">
        <v>266</v>
      </c>
      <c r="M30" s="1" t="s">
        <v>151</v>
      </c>
      <c r="N30" t="s">
        <v>150</v>
      </c>
    </row>
    <row r="31" spans="1:14" x14ac:dyDescent="0.2">
      <c r="A31">
        <v>1</v>
      </c>
      <c r="B31" t="s">
        <v>27</v>
      </c>
      <c r="C31" s="2">
        <f t="shared" si="8"/>
        <v>5</v>
      </c>
      <c r="D31" s="2">
        <v>5</v>
      </c>
      <c r="F31" s="2"/>
      <c r="G31" s="2"/>
      <c r="N31" t="s">
        <v>153</v>
      </c>
    </row>
    <row r="32" spans="1:14" x14ac:dyDescent="0.2">
      <c r="A32">
        <v>1</v>
      </c>
      <c r="B32" t="s">
        <v>28</v>
      </c>
      <c r="C32" s="2">
        <f t="shared" si="8"/>
        <v>7</v>
      </c>
      <c r="D32" s="2">
        <v>7</v>
      </c>
      <c r="F32" s="2"/>
      <c r="G32" s="2"/>
      <c r="N32" t="s">
        <v>155</v>
      </c>
    </row>
    <row r="33" spans="1:19" x14ac:dyDescent="0.2">
      <c r="A33">
        <v>1</v>
      </c>
      <c r="B33" t="s">
        <v>29</v>
      </c>
      <c r="C33" s="2">
        <f t="shared" si="8"/>
        <v>1</v>
      </c>
      <c r="D33" s="2">
        <v>1</v>
      </c>
      <c r="F33" s="2"/>
      <c r="G33" s="2"/>
      <c r="M33" s="1"/>
      <c r="N33" t="s">
        <v>156</v>
      </c>
    </row>
    <row r="34" spans="1:19" ht="51" x14ac:dyDescent="0.2">
      <c r="A34">
        <v>1</v>
      </c>
      <c r="B34" t="s">
        <v>30</v>
      </c>
      <c r="C34" s="2">
        <f t="shared" si="8"/>
        <v>52</v>
      </c>
      <c r="D34" s="2">
        <v>52</v>
      </c>
      <c r="E34">
        <f>(G34-C34)/1.96</f>
        <v>5.3061224489795915</v>
      </c>
      <c r="F34">
        <f>C34*$F$5</f>
        <v>41.6</v>
      </c>
      <c r="G34">
        <f>C34*$G$5</f>
        <v>62.4</v>
      </c>
      <c r="H34" t="s">
        <v>145</v>
      </c>
      <c r="I34">
        <f>C34^2/E34^2</f>
        <v>96.04</v>
      </c>
      <c r="J34">
        <f>E34^2/C34</f>
        <v>0.54144106622240729</v>
      </c>
      <c r="K34" t="s">
        <v>267</v>
      </c>
      <c r="L34" t="s">
        <v>242</v>
      </c>
      <c r="M34" s="1" t="s">
        <v>268</v>
      </c>
      <c r="N34" t="s">
        <v>269</v>
      </c>
    </row>
    <row r="35" spans="1:19" ht="85" x14ac:dyDescent="0.2">
      <c r="A35">
        <v>1</v>
      </c>
      <c r="B35" t="s">
        <v>31</v>
      </c>
      <c r="C35" s="2">
        <f t="shared" si="8"/>
        <v>0</v>
      </c>
      <c r="D35" s="2">
        <v>0</v>
      </c>
      <c r="F35">
        <v>0</v>
      </c>
      <c r="G35" s="3">
        <v>100</v>
      </c>
      <c r="K35" t="s">
        <v>270</v>
      </c>
      <c r="L35" s="6" t="s">
        <v>271</v>
      </c>
      <c r="M35" s="1" t="s">
        <v>272</v>
      </c>
      <c r="N35" t="s">
        <v>273</v>
      </c>
    </row>
    <row r="36" spans="1:19" ht="85" x14ac:dyDescent="0.2">
      <c r="D36">
        <f>GP_full!D43</f>
        <v>6478.6</v>
      </c>
      <c r="L36" s="6" t="s">
        <v>274</v>
      </c>
      <c r="M36" s="19" t="s">
        <v>275</v>
      </c>
    </row>
    <row r="37" spans="1:19" ht="34" x14ac:dyDescent="0.2">
      <c r="A37">
        <v>1</v>
      </c>
      <c r="B37" t="s">
        <v>32</v>
      </c>
      <c r="C37" s="2">
        <f>R37</f>
        <v>2158.6</v>
      </c>
      <c r="D37">
        <v>1688</v>
      </c>
      <c r="E37">
        <f>(G37-C37)/1.96</f>
        <v>220.26530612244889</v>
      </c>
      <c r="F37">
        <f>C37*$F$5</f>
        <v>1726.88</v>
      </c>
      <c r="G37">
        <f>C37*$G$5</f>
        <v>2590.3199999999997</v>
      </c>
      <c r="H37" t="s">
        <v>145</v>
      </c>
      <c r="I37">
        <f>C37^2/E37^2</f>
        <v>96.040000000000077</v>
      </c>
      <c r="J37">
        <f>E37^2/C37</f>
        <v>22.476051645147841</v>
      </c>
      <c r="K37" t="s">
        <v>171</v>
      </c>
      <c r="L37" s="25" t="s">
        <v>271</v>
      </c>
      <c r="M37" s="1" t="s">
        <v>276</v>
      </c>
      <c r="N37" t="s">
        <v>277</v>
      </c>
      <c r="O37" t="s">
        <v>166</v>
      </c>
      <c r="P37">
        <v>2014</v>
      </c>
      <c r="Q37" t="s">
        <v>167</v>
      </c>
      <c r="R37" s="2" cm="1">
        <f t="array" ref="R37">ROUND(D37*PRODUCT(1+NHSII!D4:D12)*(1+NHSII!J9/100),2)</f>
        <v>2158.6</v>
      </c>
      <c r="S37" t="s">
        <v>278</v>
      </c>
    </row>
    <row r="38" spans="1:19" x14ac:dyDescent="0.2">
      <c r="B38" t="s">
        <v>33</v>
      </c>
      <c r="C38" s="2"/>
      <c r="M38" s="1"/>
    </row>
    <row r="39" spans="1:19" ht="17" x14ac:dyDescent="0.2">
      <c r="A39">
        <v>1</v>
      </c>
      <c r="B39" t="s">
        <v>34</v>
      </c>
      <c r="C39" s="2">
        <f>D40</f>
        <v>52</v>
      </c>
      <c r="D39">
        <v>200</v>
      </c>
      <c r="E39">
        <f>(G39-C39)/1.96</f>
        <v>5.3061224489795915</v>
      </c>
      <c r="F39">
        <f>C39*$F$5</f>
        <v>41.6</v>
      </c>
      <c r="G39">
        <f>C39*$G$5</f>
        <v>62.4</v>
      </c>
      <c r="H39" t="s">
        <v>145</v>
      </c>
      <c r="I39">
        <f>C39^2/E39^2</f>
        <v>96.04</v>
      </c>
      <c r="J39">
        <f>E39^2/C39</f>
        <v>0.54144106622240729</v>
      </c>
      <c r="K39" t="s">
        <v>279</v>
      </c>
      <c r="L39" s="6" t="s">
        <v>280</v>
      </c>
      <c r="M39" s="1" t="s">
        <v>281</v>
      </c>
      <c r="N39" t="s">
        <v>282</v>
      </c>
    </row>
    <row r="40" spans="1:19" ht="34" x14ac:dyDescent="0.2">
      <c r="C40" s="2"/>
      <c r="D40">
        <v>52</v>
      </c>
      <c r="L40" s="6" t="s">
        <v>180</v>
      </c>
      <c r="M40" s="1" t="s">
        <v>283</v>
      </c>
    </row>
    <row r="41" spans="1:19" ht="34" x14ac:dyDescent="0.2">
      <c r="A41">
        <v>1</v>
      </c>
      <c r="B41" t="s">
        <v>35</v>
      </c>
      <c r="C41" s="2">
        <f t="shared" si="8"/>
        <v>3</v>
      </c>
      <c r="D41">
        <v>3</v>
      </c>
      <c r="K41" t="s">
        <v>284</v>
      </c>
      <c r="L41" t="s">
        <v>253</v>
      </c>
      <c r="M41" s="1" t="s">
        <v>285</v>
      </c>
      <c r="N41" t="s">
        <v>286</v>
      </c>
    </row>
    <row r="42" spans="1:19" x14ac:dyDescent="0.2">
      <c r="B42" t="s">
        <v>36</v>
      </c>
      <c r="C42" t="s">
        <v>181</v>
      </c>
    </row>
    <row r="43" spans="1:19" x14ac:dyDescent="0.2">
      <c r="B43" t="s">
        <v>37</v>
      </c>
      <c r="C43" t="s">
        <v>181</v>
      </c>
    </row>
    <row r="44" spans="1:19" ht="85" x14ac:dyDescent="0.2">
      <c r="B44" s="8" t="s">
        <v>38</v>
      </c>
      <c r="C44" s="13"/>
      <c r="D44" s="21">
        <f>_xlfn.NORM.S.DIST(_xlfn.NORM.S.INV(D45)+D4,TRUE)</f>
        <v>0.87096597564940337</v>
      </c>
      <c r="K44" t="s">
        <v>182</v>
      </c>
      <c r="L44" t="s">
        <v>128</v>
      </c>
      <c r="M44" s="1" t="s">
        <v>287</v>
      </c>
    </row>
    <row r="45" spans="1:19" ht="51" x14ac:dyDescent="0.2">
      <c r="A45">
        <v>1</v>
      </c>
      <c r="B45" t="s">
        <v>39</v>
      </c>
      <c r="C45" s="17">
        <f t="shared" ref="C45" si="9">D45</f>
        <v>0.56000000000000005</v>
      </c>
      <c r="D45">
        <v>0.56000000000000005</v>
      </c>
      <c r="E45">
        <f>(G45-C45)/1.96</f>
        <v>5.7142857142857141E-2</v>
      </c>
      <c r="F45">
        <f>C45*$F$5</f>
        <v>0.44800000000000006</v>
      </c>
      <c r="G45">
        <f>C45*$G$5</f>
        <v>0.67200000000000004</v>
      </c>
      <c r="H45" t="s">
        <v>88</v>
      </c>
      <c r="I45">
        <f>C45*(((C45*(1-C45))/E45^2)-1)</f>
        <v>41.697600000000008</v>
      </c>
      <c r="J45">
        <f>(1-C45)*(((C45*(1-C45))/E45^2)-1)</f>
        <v>32.7624</v>
      </c>
      <c r="K45" t="s">
        <v>288</v>
      </c>
      <c r="L45" s="6" t="s">
        <v>289</v>
      </c>
      <c r="M45" s="1" t="s">
        <v>290</v>
      </c>
      <c r="N45" t="s">
        <v>185</v>
      </c>
    </row>
    <row r="46" spans="1:19" x14ac:dyDescent="0.2">
      <c r="A46">
        <v>1</v>
      </c>
      <c r="B46" s="3" t="s">
        <v>188</v>
      </c>
      <c r="C46">
        <f>ROUND(D46,2)</f>
        <v>4.51</v>
      </c>
      <c r="D46">
        <f>1567605/347385</f>
        <v>4.5125868992616258</v>
      </c>
      <c r="K46" t="s">
        <v>291</v>
      </c>
      <c r="L46" s="11" t="s">
        <v>191</v>
      </c>
      <c r="M46" t="s">
        <v>292</v>
      </c>
      <c r="N46" t="s">
        <v>190</v>
      </c>
    </row>
    <row r="47" spans="1:19" x14ac:dyDescent="0.2">
      <c r="A47">
        <v>1</v>
      </c>
      <c r="B47" s="3" t="s">
        <v>193</v>
      </c>
      <c r="C47" s="17">
        <f>R47</f>
        <v>182.58</v>
      </c>
      <c r="D47">
        <v>157.38</v>
      </c>
      <c r="K47" t="s">
        <v>194</v>
      </c>
      <c r="L47" s="11" t="s">
        <v>191</v>
      </c>
      <c r="M47" t="s">
        <v>293</v>
      </c>
      <c r="N47" t="s">
        <v>195</v>
      </c>
      <c r="O47" t="s">
        <v>166</v>
      </c>
      <c r="P47">
        <v>2022</v>
      </c>
      <c r="Q47" t="s">
        <v>197</v>
      </c>
      <c r="R47" cm="1">
        <f t="array" ref="R47">ROUND(D47*PRODUCT(1+NHSII!C10:C12),2)</f>
        <v>182.58</v>
      </c>
      <c r="S47" t="s">
        <v>159</v>
      </c>
    </row>
    <row r="48" spans="1:19" ht="17" x14ac:dyDescent="0.25">
      <c r="A48">
        <v>1</v>
      </c>
      <c r="B48" s="9" t="s">
        <v>198</v>
      </c>
      <c r="C48" s="17">
        <f>D48</f>
        <v>0.1</v>
      </c>
      <c r="D48">
        <v>0.1</v>
      </c>
      <c r="K48" t="s">
        <v>199</v>
      </c>
      <c r="L48" s="11" t="s">
        <v>180</v>
      </c>
      <c r="N48" t="s">
        <v>200</v>
      </c>
    </row>
    <row r="49" spans="1:19" x14ac:dyDescent="0.2">
      <c r="A49">
        <v>1</v>
      </c>
      <c r="B49" t="s">
        <v>201</v>
      </c>
      <c r="C49" s="10">
        <f>D49</f>
        <v>75.954381879683439</v>
      </c>
      <c r="D49" s="10">
        <f>GP_full!D54/GP_full!D9*miscarriage_full!D6</f>
        <v>75.954381879683439</v>
      </c>
      <c r="K49" t="s">
        <v>294</v>
      </c>
      <c r="L49" t="s">
        <v>180</v>
      </c>
      <c r="M49" t="s">
        <v>295</v>
      </c>
    </row>
    <row r="50" spans="1:19" ht="68" x14ac:dyDescent="0.2">
      <c r="A50">
        <v>1</v>
      </c>
      <c r="B50" t="s">
        <v>206</v>
      </c>
      <c r="C50">
        <f>R50</f>
        <v>1001.33</v>
      </c>
      <c r="D50">
        <v>667.17</v>
      </c>
      <c r="E50">
        <f>(G50-C50)/1.96</f>
        <v>102.17653061224487</v>
      </c>
      <c r="F50">
        <f>C50*$F$5</f>
        <v>801.06400000000008</v>
      </c>
      <c r="G50">
        <f>C50*$G$5</f>
        <v>1201.596</v>
      </c>
      <c r="H50" t="s">
        <v>145</v>
      </c>
      <c r="I50">
        <f>C50^2/E50^2</f>
        <v>96.040000000000049</v>
      </c>
      <c r="J50">
        <f>E50^2/C50</f>
        <v>10.426176593086209</v>
      </c>
      <c r="K50" t="s">
        <v>207</v>
      </c>
      <c r="L50" s="11" t="s">
        <v>242</v>
      </c>
      <c r="M50" s="1" t="s">
        <v>210</v>
      </c>
      <c r="N50" t="s">
        <v>296</v>
      </c>
      <c r="O50" t="s">
        <v>166</v>
      </c>
      <c r="P50">
        <v>2006</v>
      </c>
      <c r="Q50" t="s">
        <v>167</v>
      </c>
      <c r="R50" cm="1">
        <f t="array" ref="R50">ROUND(D50*NHSII!N5/NHSII!N4*PRODUCT(1+NHSII!D5:D12),2)</f>
        <v>1001.33</v>
      </c>
      <c r="S50" t="s">
        <v>211</v>
      </c>
    </row>
    <row r="51" spans="1:19" x14ac:dyDescent="0.2">
      <c r="A51">
        <v>1</v>
      </c>
      <c r="B51" t="s">
        <v>212</v>
      </c>
      <c r="C51">
        <f>D51</f>
        <v>0.17100000000000001</v>
      </c>
      <c r="D51">
        <v>0.17100000000000001</v>
      </c>
      <c r="K51" t="s">
        <v>213</v>
      </c>
      <c r="L51" s="6" t="s">
        <v>204</v>
      </c>
      <c r="M51" t="s">
        <v>297</v>
      </c>
      <c r="N51" t="s">
        <v>214</v>
      </c>
    </row>
  </sheetData>
  <autoFilter ref="A1:M49" xr:uid="{F152BD3A-13E8-CE4E-A599-EB9E02194D16}"/>
  <hyperlinks>
    <hyperlink ref="L6" r:id="rId1" xr:uid="{3E3E4666-BC70-E342-AF4A-CFC2CC4A01B0}"/>
    <hyperlink ref="L7" r:id="rId2" xr:uid="{4109D8F7-9090-4C4B-842E-F142FBA068F9}"/>
    <hyperlink ref="L8" r:id="rId3" xr:uid="{0C153975-89E8-C647-9C31-F250B332925B}"/>
    <hyperlink ref="L5" r:id="rId4" xr:uid="{F1592D66-A69C-8A46-99AC-14EF0A84EB43}"/>
    <hyperlink ref="L35" r:id="rId5" xr:uid="{536B685C-ED9B-7642-84C5-F7AB0591D4B9}"/>
    <hyperlink ref="L36" r:id="rId6" xr:uid="{C35A3107-F25A-354C-B552-EC4113E58790}"/>
    <hyperlink ref="L37" r:id="rId7" xr:uid="{876A887C-F0F4-4A40-A865-7DB2250BC321}"/>
    <hyperlink ref="L39" r:id="rId8" xr:uid="{96328836-F0DD-0D41-944E-54C4248089B6}"/>
    <hyperlink ref="L18" r:id="rId9" xr:uid="{2C80A550-B55D-C54C-A76B-67FACC32E195}"/>
    <hyperlink ref="L17" r:id="rId10" xr:uid="{3B6810F0-08AF-BF44-A72B-5F8BAC65686F}"/>
    <hyperlink ref="L45" r:id="rId11" location="Sec12 " xr:uid="{60385FE3-D100-9F45-8B9F-577AD4757DF6}"/>
    <hyperlink ref="L51" r:id="rId12" xr:uid="{0FB40C1E-8473-4E45-AD78-3BD73792D698}"/>
  </hyperlinks>
  <pageMargins left="0.7" right="0.7" top="0.75" bottom="0.75" header="0.3" footer="0.3"/>
  <pageSetup paperSize="9" orientation="portrait" horizontalDpi="0" verticalDpi="0"/>
  <legacy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CBFDB-7C54-F945-8B47-52AB4F348DC6}">
  <dimension ref="A1:N12"/>
  <sheetViews>
    <sheetView zoomScale="144" workbookViewId="0">
      <selection activeCell="F15" sqref="F15"/>
    </sheetView>
  </sheetViews>
  <sheetFormatPr baseColWidth="10" defaultColWidth="11" defaultRowHeight="16" x14ac:dyDescent="0.2"/>
  <sheetData>
    <row r="1" spans="1:14" x14ac:dyDescent="0.2">
      <c r="A1" t="s">
        <v>298</v>
      </c>
      <c r="D1" s="26" t="s">
        <v>159</v>
      </c>
      <c r="G1" s="24" t="s">
        <v>299</v>
      </c>
      <c r="J1" s="26" t="s">
        <v>300</v>
      </c>
      <c r="N1" s="26" t="s">
        <v>301</v>
      </c>
    </row>
    <row r="2" spans="1:14" x14ac:dyDescent="0.2">
      <c r="A2" t="s">
        <v>302</v>
      </c>
      <c r="G2" s="24" t="s">
        <v>303</v>
      </c>
    </row>
    <row r="3" spans="1:14" x14ac:dyDescent="0.2">
      <c r="B3" t="s">
        <v>304</v>
      </c>
      <c r="C3" t="s">
        <v>305</v>
      </c>
      <c r="D3" t="s">
        <v>306</v>
      </c>
      <c r="G3" s="24" t="s">
        <v>307</v>
      </c>
      <c r="H3" t="s">
        <v>308</v>
      </c>
      <c r="I3" t="s">
        <v>309</v>
      </c>
      <c r="J3" t="s">
        <v>310</v>
      </c>
      <c r="M3" s="24" t="s">
        <v>307</v>
      </c>
      <c r="N3" s="27" t="s">
        <v>311</v>
      </c>
    </row>
    <row r="4" spans="1:14" x14ac:dyDescent="0.2">
      <c r="A4" t="s">
        <v>312</v>
      </c>
      <c r="B4" s="22">
        <v>5.5999999999999999E-3</v>
      </c>
      <c r="C4" s="22">
        <v>3.0000000000000001E-3</v>
      </c>
      <c r="D4" s="22">
        <v>4.0000000000000001E-3</v>
      </c>
      <c r="G4" s="24" t="s">
        <v>313</v>
      </c>
      <c r="H4">
        <v>-1.3</v>
      </c>
      <c r="I4">
        <v>1.8</v>
      </c>
      <c r="J4">
        <v>0.6</v>
      </c>
      <c r="M4" t="s">
        <v>314</v>
      </c>
      <c r="N4">
        <v>249.8</v>
      </c>
    </row>
    <row r="5" spans="1:14" x14ac:dyDescent="0.2">
      <c r="A5" t="s">
        <v>315</v>
      </c>
      <c r="B5" s="22">
        <v>2.06E-2</v>
      </c>
      <c r="C5" s="22">
        <v>2.1000000000000001E-2</v>
      </c>
      <c r="D5" s="22">
        <v>2.0899999999999998E-2</v>
      </c>
      <c r="G5" s="24" t="s">
        <v>316</v>
      </c>
      <c r="H5">
        <v>2.8</v>
      </c>
      <c r="I5">
        <v>3.1</v>
      </c>
      <c r="J5">
        <v>3</v>
      </c>
      <c r="M5" t="s">
        <v>317</v>
      </c>
      <c r="N5">
        <v>297</v>
      </c>
    </row>
    <row r="6" spans="1:14" x14ac:dyDescent="0.2">
      <c r="A6" t="s">
        <v>318</v>
      </c>
      <c r="B6" s="22">
        <v>1.2999999999999999E-2</v>
      </c>
      <c r="C6" s="22">
        <v>1.21E-2</v>
      </c>
      <c r="D6" s="22">
        <v>1.24E-2</v>
      </c>
      <c r="G6" s="24" t="s">
        <v>319</v>
      </c>
      <c r="H6">
        <v>4.0999999999999996</v>
      </c>
      <c r="I6">
        <v>0.9</v>
      </c>
      <c r="J6">
        <v>2.1</v>
      </c>
    </row>
    <row r="7" spans="1:14" x14ac:dyDescent="0.2">
      <c r="A7" t="s">
        <v>320</v>
      </c>
      <c r="B7" s="22">
        <v>1.5900000000000001E-2</v>
      </c>
      <c r="C7" s="22">
        <v>1.6E-2</v>
      </c>
      <c r="D7" s="22">
        <v>1.6E-2</v>
      </c>
      <c r="G7" s="24" t="s">
        <v>321</v>
      </c>
      <c r="H7">
        <v>3.1</v>
      </c>
      <c r="I7">
        <v>0.9</v>
      </c>
      <c r="J7">
        <v>1.7</v>
      </c>
    </row>
    <row r="8" spans="1:14" x14ac:dyDescent="0.2">
      <c r="A8" t="s">
        <v>322</v>
      </c>
      <c r="B8" s="22">
        <v>1.2999999999999999E-2</v>
      </c>
      <c r="C8" s="22">
        <v>2.58E-2</v>
      </c>
      <c r="D8" s="22">
        <v>2.1399999999999999E-2</v>
      </c>
      <c r="G8" s="24" t="s">
        <v>323</v>
      </c>
      <c r="H8">
        <v>1.8</v>
      </c>
      <c r="I8">
        <v>0.7</v>
      </c>
      <c r="J8">
        <v>1.1000000000000001</v>
      </c>
    </row>
    <row r="9" spans="1:14" x14ac:dyDescent="0.2">
      <c r="A9" t="s">
        <v>324</v>
      </c>
      <c r="B9" s="22">
        <v>8.3999999999999995E-3</v>
      </c>
      <c r="C9" s="22">
        <v>3.4099999999999998E-2</v>
      </c>
      <c r="D9" s="22">
        <v>2.4899999999999999E-2</v>
      </c>
      <c r="G9" s="24" t="s">
        <v>325</v>
      </c>
      <c r="H9">
        <v>1.7</v>
      </c>
      <c r="I9">
        <v>0.3</v>
      </c>
      <c r="J9">
        <v>0.9</v>
      </c>
    </row>
    <row r="10" spans="1:14" x14ac:dyDescent="0.2">
      <c r="A10" t="s">
        <v>326</v>
      </c>
      <c r="B10" s="22">
        <v>1.72E-2</v>
      </c>
      <c r="C10" s="22">
        <v>3.0700000000000002E-2</v>
      </c>
      <c r="D10" s="22">
        <v>2.58E-2</v>
      </c>
      <c r="G10" s="24" t="s">
        <v>312</v>
      </c>
      <c r="H10">
        <v>2.7</v>
      </c>
      <c r="I10">
        <v>0.3</v>
      </c>
      <c r="J10">
        <v>1.3</v>
      </c>
    </row>
    <row r="11" spans="1:14" x14ac:dyDescent="0.2">
      <c r="A11" t="s">
        <v>327</v>
      </c>
      <c r="B11" s="22">
        <v>7.1499999999999994E-2</v>
      </c>
      <c r="C11" s="22">
        <v>7.4099999999999999E-2</v>
      </c>
      <c r="D11" s="22">
        <v>7.3200000000000001E-2</v>
      </c>
      <c r="G11" s="24"/>
    </row>
    <row r="12" spans="1:14" x14ac:dyDescent="0.2">
      <c r="A12" t="s">
        <v>328</v>
      </c>
      <c r="B12" s="22">
        <v>3.4500000000000003E-2</v>
      </c>
      <c r="C12" s="22">
        <v>4.7899999999999998E-2</v>
      </c>
      <c r="D12" s="22">
        <v>4.3099999999999999E-2</v>
      </c>
      <c r="G12"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GP_DSA_ranges</vt:lpstr>
      <vt:lpstr>GP_full</vt:lpstr>
      <vt:lpstr>GP_base</vt:lpstr>
      <vt:lpstr>miscarriage_full</vt:lpstr>
      <vt:lpstr>NHSII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TH (gzw)</dc:creator>
  <cp:keywords/>
  <dc:description/>
  <cp:lastModifiedBy>Pham, TH (gzw)</cp:lastModifiedBy>
  <cp:revision/>
  <dcterms:created xsi:type="dcterms:W3CDTF">2025-07-15T08:36:40Z</dcterms:created>
  <dcterms:modified xsi:type="dcterms:W3CDTF">2026-02-02T13:58:49Z</dcterms:modified>
  <cp:category/>
  <cp:contentStatus/>
</cp:coreProperties>
</file>